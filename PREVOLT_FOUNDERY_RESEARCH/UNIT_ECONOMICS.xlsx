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Formulation_Inputs" sheetId="3" state="visible" r:id="rId3"/>
    <sheet name="Scenarios" sheetId="4" state="visible" r:id="rId4"/>
    <sheet name="Best_Case_Check" sheetId="5" state="visible" r:id="rId5"/>
    <sheet name="Three_Flavour_vs_Staged" sheetId="6" state="visible" r:id="rId6"/>
    <sheet name="Sensitivity" sheetId="7" state="visible" r:id="rId7"/>
    <sheet name="Breakeven_MRP" sheetId="8" state="visible" r:id="rId8"/>
    <sheet name="QComm_D2C" sheetId="9" state="visible" r:id="rId9"/>
    <sheet name="Historical_Reference" sheetId="10" state="visible" r:id="rId10"/>
    <sheet name="Quotes_Requir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CC0000"/>
      <sz val="12"/>
    </font>
  </fonts>
  <fills count="10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B6D7A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CFE2F3"/>
      </patternFill>
    </fill>
    <fill>
      <patternFill patternType="solid">
        <fgColor rgb="00FCE5CD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applyAlignment="1" pivotButton="0" quotePrefix="0" xfId="0">
      <alignment vertical="top" wrapText="1"/>
    </xf>
    <xf numFmtId="0" fontId="0" fillId="8" borderId="0" pivotButton="0" quotePrefix="0" xfId="0"/>
    <xf numFmtId="9" fontId="0" fillId="5" borderId="0" pivotButton="0" quotePrefix="0" xfId="0"/>
    <xf numFmtId="9" fontId="0" fillId="3" borderId="0" pivotButton="0" quotePrefix="0" xfId="0"/>
    <xf numFmtId="0" fontId="2" fillId="0" borderId="0" pivotButton="0" quotePrefix="0" xfId="0"/>
    <xf numFmtId="0" fontId="2" fillId="7" borderId="0" applyAlignment="1" pivotButton="0" quotePrefix="0" xfId="0">
      <alignment wrapText="1"/>
    </xf>
    <xf numFmtId="3" fontId="0" fillId="0" borderId="0" pivotButton="0" quotePrefix="0" xfId="0"/>
    <xf numFmtId="4" fontId="0" fillId="0" borderId="0" pivotButton="0" quotePrefix="0" xfId="0"/>
    <xf numFmtId="4" fontId="2" fillId="0" borderId="0" pivotButton="0" quotePrefix="0" xfId="0"/>
    <xf numFmtId="9" fontId="0" fillId="0" borderId="0" pivotButton="0" quotePrefix="0" xfId="0"/>
    <xf numFmtId="3" fontId="2" fillId="0" borderId="0" pivotButton="0" quotePrefix="0" xfId="0"/>
    <xf numFmtId="1" fontId="0" fillId="0" borderId="0" pivotButton="0" quotePrefix="0" xfId="0"/>
    <xf numFmtId="9" fontId="2" fillId="0" borderId="0" pivotButton="0" quotePrefix="0" xfId="0"/>
    <xf numFmtId="0" fontId="3" fillId="0" borderId="0" pivotButton="0" quotePrefix="0" xfId="0"/>
    <xf numFmtId="4" fontId="0" fillId="2" borderId="0" pivotButton="0" quotePrefix="0" xfId="0"/>
    <xf numFmtId="4" fontId="0" fillId="6" borderId="0" pivotButton="0" quotePrefix="0" xfId="0"/>
    <xf numFmtId="4" fontId="0" fillId="9" borderId="0" pivotButton="0" quotePrefix="0" xfId="0"/>
    <xf numFmtId="9" fontId="0" fillId="9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PREVOLT - Unit Economics Model (prepared 1 Oct 2026)</t>
        </is>
      </c>
    </row>
    <row r="2">
      <c r="A2" t="inlineStr">
        <is>
          <t>PURPOSE: test whether a 250 ml canned PREVOLT drink can make money at 2,000 / 5,000 / 10,000 units, for an artificial-powder formulation and three natural-fruit concepts.</t>
        </is>
      </c>
    </row>
    <row r="3">
      <c r="A3" t="inlineStr">
        <is>
          <t>THIS IS NOT A QUOTATION. No manufacturer has quoted any natural-fruit formulation. Every natural-fruit cost is HYPOTHETICAL and exists only for sensitivity analysis.</t>
        </is>
      </c>
    </row>
    <row r="4">
      <c r="A4" t="inlineStr">
        <is>
          <t>The historical Rs 22/unit (at ~10,000 units, artificial powder, 2025, founder-reported) is shown ONLY on sheet 'Historical_Reference' and is NOT used for natural-fruit scenarios.</t>
        </is>
      </c>
    </row>
    <row r="5">
      <c r="A5" t="inlineStr"/>
    </row>
    <row r="6">
      <c r="A6" t="inlineStr">
        <is>
          <t>INPUT TYPES (cell colour):</t>
        </is>
      </c>
    </row>
    <row r="7">
      <c r="A7" s="2" t="inlineStr">
        <is>
          <t>HISTORICAL  - founder-reported 2025 figure; no document seen; not a current offer.</t>
        </is>
      </c>
    </row>
    <row r="8">
      <c r="A8" s="3" t="inlineStr">
        <is>
          <t>VERIFIED    - read in a primary/regulatory source (see SOURCE_REGISTER.csv id).</t>
        </is>
      </c>
    </row>
    <row r="9">
      <c r="A9" s="4" t="inlineStr">
        <is>
          <t>RESEARCHED  - public benchmark (listing/blog/press); low-medium confidence; not a quote.</t>
        </is>
      </c>
    </row>
    <row r="10">
      <c r="A10" s="5" t="inlineStr">
        <is>
          <t>ASSUMED     - analyst assumption for a first-batch pilot; replace with local data.</t>
        </is>
      </c>
    </row>
    <row r="11">
      <c r="A11" t="inlineStr">
        <is>
          <t>HYPOTHETICAL- placeholder range for an unquoted cost (e.g. real blueberry). Must be replaced by a manufacturer quotation.</t>
        </is>
      </c>
    </row>
    <row r="12">
      <c r="A12" s="6" t="inlineStr">
        <is>
          <t>UNKNOWN     - no basis found; placeholder only.</t>
        </is>
      </c>
    </row>
    <row r="13">
      <c r="A13" t="inlineStr"/>
    </row>
    <row r="14">
      <c r="A14" t="inlineStr">
        <is>
          <t>HOW TO USE: edit the BASE column (F) on 'Inputs' and 'Formulation_Inputs'. All other sheets recalculate. LOW/HIGH columns are used by 'Sensitivity'.</t>
        </is>
      </c>
    </row>
    <row r="15">
      <c r="A15" t="inlineStr">
        <is>
          <t>CONVENTIONS: all costs in Rs per 250 ml can, EXCLUDING GST (input GST assumed creditable). MRP includes 40% GST (caffeinated beverage, Notification 01/2026-CT(Rate), source S13).</t>
        </is>
      </c>
    </row>
    <row r="16">
      <c r="A16" t="inlineStr">
        <is>
          <t>Trade margins are applied to the ex-GST value: net realisation = MRP/(1+GST) x (1 - retailer margin) x (1 - distributor margin). This is a simplification; real Indian trade terms vary (margin on MRP vs on landing price, schemes, credit).</t>
        </is>
      </c>
    </row>
    <row r="17">
      <c r="A17" t="inlineStr">
        <is>
          <t>Volumes are PER FLAVOUR. Industry sources indicate batches/MOQs are per SKU with changeover cleaning between flavours (S42); confirm with each quotation.</t>
        </is>
      </c>
    </row>
    <row r="18">
      <c r="A18" t="inlineStr">
        <is>
          <t>Sheets: Inputs | Formulation_Inputs | Scenarios (12 cases) | Three_Flavour_vs_Staged | Best_Case_Check | Sensitivity | Breakeven_MRP | QComm_D2C | Historical_Reference | Quotes_Required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90" customWidth="1" min="8" max="8"/>
  </cols>
  <sheetData>
    <row r="1">
      <c r="A1" s="1" t="inlineStr">
        <is>
          <t>GLOBAL INPUTS (Rs per can ex-GST unless stated)</t>
        </is>
      </c>
    </row>
    <row r="3">
      <c r="A3" s="7" t="inlineStr">
        <is>
          <t>Key</t>
        </is>
      </c>
      <c r="B3" s="7" t="inlineStr">
        <is>
          <t>Description</t>
        </is>
      </c>
      <c r="C3" s="7" t="inlineStr">
        <is>
          <t>Unit</t>
        </is>
      </c>
      <c r="D3" s="7" t="inlineStr">
        <is>
          <t>Type</t>
        </is>
      </c>
      <c r="E3" s="7" t="inlineStr">
        <is>
          <t>Low</t>
        </is>
      </c>
      <c r="F3" s="7" t="inlineStr">
        <is>
          <t>Base</t>
        </is>
      </c>
      <c r="G3" s="7" t="inlineStr">
        <is>
          <t>High</t>
        </is>
      </c>
      <c r="H3" s="7" t="inlineStr">
        <is>
          <t>Source / rationale</t>
        </is>
      </c>
    </row>
    <row r="4">
      <c r="A4" s="4" t="inlineStr">
        <is>
          <t>can</t>
        </is>
      </c>
      <c r="B4" s="4" t="inlineStr">
        <is>
          <t>Empty 250 ml aluminium can incl. end</t>
        </is>
      </c>
      <c r="C4" s="4" t="inlineStr">
        <is>
          <t>Rs/can</t>
        </is>
      </c>
      <c r="D4" s="4" t="inlineStr">
        <is>
          <t>RESEARCHED</t>
        </is>
      </c>
      <c r="E4" s="4" t="n">
        <v>10</v>
      </c>
      <c r="F4" s="4" t="n">
        <v>11.5</v>
      </c>
      <c r="G4" s="4" t="n">
        <v>15</v>
      </c>
      <c r="H4" s="4" t="inlineStr">
        <is>
          <t>S43 listing ~Rs 11.5; S41 blog Rs 12-15. Printed-can MOQs from large can makers are typically far above pilot volumes: get a quote.</t>
        </is>
      </c>
    </row>
    <row r="5">
      <c r="A5" s="5" t="inlineStr">
        <is>
          <t>decor</t>
        </is>
      </c>
      <c r="B5" s="5" t="inlineStr">
        <is>
          <t>Can decoration: shrink sleeve / label / print premium</t>
        </is>
      </c>
      <c r="C5" s="5" t="inlineStr">
        <is>
          <t>Rs/can</t>
        </is>
      </c>
      <c r="D5" s="5" t="inlineStr">
        <is>
          <t>ASSUMED</t>
        </is>
      </c>
      <c r="E5" s="5" t="n">
        <v>1</v>
      </c>
      <c r="F5" s="5" t="n">
        <v>2</v>
      </c>
      <c r="G5" s="5" t="n">
        <v>4</v>
      </c>
      <c r="H5" s="5" t="inlineStr">
        <is>
          <t>No quote. S41 lists packaging &amp; labelling Rs 2-4 (incl. secondary).</t>
        </is>
      </c>
    </row>
    <row r="6">
      <c r="A6" s="4" t="inlineStr">
        <is>
          <t>fill</t>
        </is>
      </c>
      <c r="B6" s="4" t="inlineStr">
        <is>
          <t>Filling, carbonation, seaming, pasteurisation tolling</t>
        </is>
      </c>
      <c r="C6" s="4" t="inlineStr">
        <is>
          <t>Rs/can</t>
        </is>
      </c>
      <c r="D6" s="4" t="inlineStr">
        <is>
          <t>RESEARCHED</t>
        </is>
      </c>
      <c r="E6" s="4" t="n">
        <v>3</v>
      </c>
      <c r="F6" s="4" t="n">
        <v>4</v>
      </c>
      <c r="G6" s="4" t="n">
        <v>6</v>
      </c>
      <c r="H6" s="4" t="inlineStr">
        <is>
          <t>S41 blog Rs 3-5. Real-fruit pulp may need hot-fill/tunnel pasteurisation: see processing adder.</t>
        </is>
      </c>
    </row>
    <row r="7">
      <c r="A7" s="5" t="inlineStr">
        <is>
          <t>sec</t>
        </is>
      </c>
      <c r="B7" s="5" t="inlineStr">
        <is>
          <t>Secondary packaging (trays, shrink, cartons)</t>
        </is>
      </c>
      <c r="C7" s="5" t="inlineStr">
        <is>
          <t>Rs/can</t>
        </is>
      </c>
      <c r="D7" s="5" t="inlineStr">
        <is>
          <t>ASSUMED</t>
        </is>
      </c>
      <c r="E7" s="5" t="n">
        <v>1</v>
      </c>
      <c r="F7" s="5" t="n">
        <v>1.5</v>
      </c>
      <c r="G7" s="5" t="n">
        <v>3</v>
      </c>
      <c r="H7" s="5" t="inlineStr">
        <is>
          <t>Assumption.</t>
        </is>
      </c>
    </row>
    <row r="8">
      <c r="A8" s="5" t="inlineStr">
        <is>
          <t>frt</t>
        </is>
      </c>
      <c r="B8" s="5" t="inlineStr">
        <is>
          <t>Freight factory -&gt; pilot-city warehouse</t>
        </is>
      </c>
      <c r="C8" s="5" t="inlineStr">
        <is>
          <t>Rs/can</t>
        </is>
      </c>
      <c r="D8" s="5" t="inlineStr">
        <is>
          <t>ASSUMED</t>
        </is>
      </c>
      <c r="E8" s="5" t="n">
        <v>1</v>
      </c>
      <c r="F8" s="5" t="n">
        <v>2</v>
      </c>
      <c r="G8" s="5" t="n">
        <v>4</v>
      </c>
      <c r="H8" s="5" t="inlineStr">
        <is>
          <t>Assumption; depends on distance (Bengaluru plant vs pilot city).</t>
        </is>
      </c>
    </row>
    <row r="9">
      <c r="A9" s="5" t="inlineStr">
        <is>
          <t>wh</t>
        </is>
      </c>
      <c r="B9" s="5" t="inlineStr">
        <is>
          <t>Warehousing &amp; handling (first batch)</t>
        </is>
      </c>
      <c r="C9" s="5" t="inlineStr">
        <is>
          <t>Rs/can</t>
        </is>
      </c>
      <c r="D9" s="5" t="inlineStr">
        <is>
          <t>ASSUMED</t>
        </is>
      </c>
      <c r="E9" s="5" t="n">
        <v>0.5</v>
      </c>
      <c r="F9" s="5" t="n">
        <v>1</v>
      </c>
      <c r="G9" s="5" t="n">
        <v>2</v>
      </c>
      <c r="H9" s="5" t="inlineStr">
        <is>
          <t>Assumption.</t>
        </is>
      </c>
    </row>
    <row r="10">
      <c r="A10" s="8" t="inlineStr">
        <is>
          <t>setup</t>
        </is>
      </c>
      <c r="B10" s="8" t="inlineStr">
        <is>
          <t>Line setup / changeover per flavour batch</t>
        </is>
      </c>
      <c r="C10" s="8" t="inlineStr">
        <is>
          <t>Rs/batch</t>
        </is>
      </c>
      <c r="D10" s="8" t="inlineStr">
        <is>
          <t>HYPOTHETICAL</t>
        </is>
      </c>
      <c r="E10" s="8" t="n">
        <v>0</v>
      </c>
      <c r="F10" s="8" t="n">
        <v>20000</v>
      </c>
      <c r="G10" s="8" t="n">
        <v>50000</v>
      </c>
      <c r="H10" s="8" t="inlineStr">
        <is>
          <t>Unknown. DH Brands claims a no-MOQ semi-auto line (S44); other blogs cite 4-8 h changeover cleaning (S42).</t>
        </is>
      </c>
    </row>
    <row r="11">
      <c r="A11" s="8" t="inlineStr">
        <is>
          <t>qa</t>
        </is>
      </c>
      <c r="B11" s="8" t="inlineStr">
        <is>
          <t>Batch release testing at an accredited lab (micro, caffeine, label claims) per flavour batch</t>
        </is>
      </c>
      <c r="C11" s="8" t="inlineStr">
        <is>
          <t>Rs/batch</t>
        </is>
      </c>
      <c r="D11" s="8" t="inlineStr">
        <is>
          <t>HYPOTHETICAL</t>
        </is>
      </c>
      <c r="E11" s="8" t="n">
        <v>10000</v>
      </c>
      <c r="F11" s="8" t="n">
        <v>25000</v>
      </c>
      <c r="G11" s="8" t="n">
        <v>50000</v>
      </c>
      <c r="H11" s="8" t="inlineStr">
        <is>
          <t>No quote; ask NABL-accredited labs.</t>
        </is>
      </c>
    </row>
    <row r="12">
      <c r="A12" s="5" t="inlineStr">
        <is>
          <t>waste</t>
        </is>
      </c>
      <c r="B12" s="5" t="inlineStr">
        <is>
          <t>Damage / QC rejects</t>
        </is>
      </c>
      <c r="C12" s="5" t="inlineStr">
        <is>
          <t>% of units</t>
        </is>
      </c>
      <c r="D12" s="5" t="inlineStr">
        <is>
          <t>ASSUMED</t>
        </is>
      </c>
      <c r="E12" s="9" t="n">
        <v>0.01</v>
      </c>
      <c r="F12" s="9" t="n">
        <v>0.03</v>
      </c>
      <c r="G12" s="9" t="n">
        <v>0.06</v>
      </c>
      <c r="H12" s="5" t="inlineStr">
        <is>
          <t>Assumption.</t>
        </is>
      </c>
    </row>
    <row r="13">
      <c r="A13" s="5" t="inlineStr">
        <is>
          <t>samp</t>
        </is>
      </c>
      <c r="B13" s="5" t="inlineStr">
        <is>
          <t>Free sampling (tastings, gyms, campuses)</t>
        </is>
      </c>
      <c r="C13" s="5" t="inlineStr">
        <is>
          <t>% of units</t>
        </is>
      </c>
      <c r="D13" s="5" t="inlineStr">
        <is>
          <t>ASSUMED</t>
        </is>
      </c>
      <c r="E13" s="9" t="n">
        <v>0.05</v>
      </c>
      <c r="F13" s="9" t="n">
        <v>0.1</v>
      </c>
      <c r="G13" s="9" t="n">
        <v>0.2</v>
      </c>
      <c r="H13" s="5" t="inlineStr">
        <is>
          <t>Assumption; trial-driven category.</t>
        </is>
      </c>
    </row>
    <row r="14">
      <c r="A14" s="5" t="inlineStr">
        <is>
          <t>st</t>
        </is>
      </c>
      <c r="B14" s="5" t="inlineStr">
        <is>
          <t>Sell-through of saleable stock before expiry/obsolescence</t>
        </is>
      </c>
      <c r="C14" s="5" t="inlineStr">
        <is>
          <t>% of saleable</t>
        </is>
      </c>
      <c r="D14" s="5" t="inlineStr">
        <is>
          <t>ASSUMED</t>
        </is>
      </c>
      <c r="E14" s="9" t="n">
        <v>0.4</v>
      </c>
      <c r="F14" s="9" t="n">
        <v>0.75</v>
      </c>
      <c r="G14" s="9" t="n">
        <v>0.95</v>
      </c>
      <c r="H14" s="5" t="inlineStr">
        <is>
          <t>Assumption: an unknown brand with a first batch. Validate in the pilot.</t>
        </is>
      </c>
    </row>
    <row r="15">
      <c r="A15" s="3" t="inlineStr">
        <is>
          <t>gst</t>
        </is>
      </c>
      <c r="B15" s="3" t="inlineStr">
        <is>
          <t>GST on caffeinated beverages (included in MRP)</t>
        </is>
      </c>
      <c r="C15" s="3" t="inlineStr">
        <is>
          <t>%</t>
        </is>
      </c>
      <c r="D15" s="3" t="inlineStr">
        <is>
          <t>VERIFIED</t>
        </is>
      </c>
      <c r="E15" s="10" t="n">
        <v>0.4</v>
      </c>
      <c r="F15" s="10" t="n">
        <v>0.4</v>
      </c>
      <c r="G15" s="10" t="n">
        <v>0.4</v>
      </c>
      <c r="H15" s="3" t="inlineStr">
        <is>
          <t>S13 Notification 01/2026-CT(Rate): 40%.</t>
        </is>
      </c>
    </row>
    <row r="16">
      <c r="A16" s="5" t="inlineStr">
        <is>
          <t>mrp</t>
        </is>
      </c>
      <c r="B16" s="5" t="inlineStr">
        <is>
          <t>MRP per 250 ml can (incl. GST)</t>
        </is>
      </c>
      <c r="C16" s="5" t="inlineStr">
        <is>
          <t>Rs</t>
        </is>
      </c>
      <c r="D16" s="5" t="inlineStr">
        <is>
          <t>ASSUMED</t>
        </is>
      </c>
      <c r="E16" s="5" t="n">
        <v>60</v>
      </c>
      <c r="F16" s="5" t="n">
        <v>99</v>
      </c>
      <c r="G16" s="5" t="n">
        <v>125</v>
      </c>
      <c r="H16" s="5" t="inlineStr">
        <is>
          <t>Rs 70 was the founder historical idea (not validated). Base Rs 99 tested; Red Bull Rs 125 (S31); Monster Ultra 350 ml Rs 125 (S34).</t>
        </is>
      </c>
    </row>
    <row r="17">
      <c r="A17" s="5" t="inlineStr">
        <is>
          <t>ret</t>
        </is>
      </c>
      <c r="B17" s="5" t="inlineStr">
        <is>
          <t>Retailer margin (on ex-GST value)</t>
        </is>
      </c>
      <c r="C17" s="5" t="inlineStr">
        <is>
          <t>%</t>
        </is>
      </c>
      <c r="D17" s="5" t="inlineStr">
        <is>
          <t>ASSUMED</t>
        </is>
      </c>
      <c r="E17" s="9" t="n">
        <v>0.1</v>
      </c>
      <c r="F17" s="9" t="n">
        <v>0.2</v>
      </c>
      <c r="G17" s="9" t="n">
        <v>0.3</v>
      </c>
      <c r="H17" s="5" t="inlineStr">
        <is>
          <t>Incumbents give 3.5-8% (S38) but an unknown brand typically needs more; FMCG GT 25-35% total trade (S40).</t>
        </is>
      </c>
    </row>
    <row r="18">
      <c r="A18" s="5" t="inlineStr">
        <is>
          <t>dist</t>
        </is>
      </c>
      <c r="B18" s="5" t="inlineStr">
        <is>
          <t>Distributor margin (on ex-GST value after retailer)</t>
        </is>
      </c>
      <c r="C18" s="5" t="inlineStr">
        <is>
          <t>%</t>
        </is>
      </c>
      <c r="D18" s="5" t="inlineStr">
        <is>
          <t>ASSUMED</t>
        </is>
      </c>
      <c r="E18" s="9" t="n">
        <v>0.05</v>
      </c>
      <c r="F18" s="9" t="n">
        <v>0.08</v>
      </c>
      <c r="G18" s="9" t="n">
        <v>0.12</v>
      </c>
      <c r="H18" s="5" t="inlineStr">
        <is>
          <t>S38: Campa 6-8%.</t>
        </is>
      </c>
    </row>
    <row r="19">
      <c r="A19" s="8" t="inlineStr">
        <is>
          <t>launch</t>
        </is>
      </c>
      <c r="B19" s="8" t="inlineStr">
        <is>
          <t>Launch marketing per pilot (POS, coolers rent, events, content)</t>
        </is>
      </c>
      <c r="C19" s="8" t="inlineStr">
        <is>
          <t>Rs</t>
        </is>
      </c>
      <c r="D19" s="8" t="inlineStr">
        <is>
          <t>HYPOTHETICAL</t>
        </is>
      </c>
      <c r="E19" s="8" t="n">
        <v>50000</v>
      </c>
      <c r="F19" s="8" t="n">
        <v>100000</v>
      </c>
      <c r="G19" s="8" t="n">
        <v>300000</v>
      </c>
      <c r="H19" s="8" t="inlineStr">
        <is>
          <t>Placeholder.</t>
        </is>
      </c>
    </row>
    <row r="20">
      <c r="A20" s="8" t="inlineStr">
        <is>
          <t>reg</t>
        </is>
      </c>
      <c r="B20" s="8" t="inlineStr">
        <is>
          <t>Regulatory consultant (classification, label, ingredient approval advice)</t>
        </is>
      </c>
      <c r="C20" s="8" t="inlineStr">
        <is>
          <t>Rs</t>
        </is>
      </c>
      <c r="D20" s="8" t="inlineStr">
        <is>
          <t>HYPOTHETICAL</t>
        </is>
      </c>
      <c r="E20" s="8" t="n">
        <v>25000</v>
      </c>
      <c r="F20" s="8" t="n">
        <v>50000</v>
      </c>
      <c r="G20" s="8" t="n">
        <v>150000</v>
      </c>
      <c r="H20" s="8" t="inlineStr">
        <is>
          <t>Placeholder; shared across flavours.</t>
        </is>
      </c>
    </row>
    <row r="21">
      <c r="A21" s="8" t="inlineStr">
        <is>
          <t>design</t>
        </is>
      </c>
      <c r="B21" s="8" t="inlineStr">
        <is>
          <t>Design, artwork, trademark filing, barcodes</t>
        </is>
      </c>
      <c r="C21" s="8" t="inlineStr">
        <is>
          <t>Rs</t>
        </is>
      </c>
      <c r="D21" s="8" t="inlineStr">
        <is>
          <t>HYPOTHETICAL</t>
        </is>
      </c>
      <c r="E21" s="8" t="n">
        <v>20000</v>
      </c>
      <c r="F21" s="8" t="n">
        <v>40000</v>
      </c>
      <c r="G21" s="8" t="n">
        <v>100000</v>
      </c>
      <c r="H21" s="8" t="inlineStr">
        <is>
          <t>Placeholder; shared.</t>
        </is>
      </c>
    </row>
    <row r="22">
      <c r="A22" s="6" t="inlineStr">
        <is>
          <t>lic</t>
        </is>
      </c>
      <c r="B22" s="6" t="inlineStr">
        <is>
          <t>FSSAI licence / registration and misc compliance (first year)</t>
        </is>
      </c>
      <c r="C22" s="6" t="inlineStr">
        <is>
          <t>Rs</t>
        </is>
      </c>
      <c r="D22" s="6" t="inlineStr">
        <is>
          <t>UNKNOWN</t>
        </is>
      </c>
      <c r="E22" s="6" t="n">
        <v>5000</v>
      </c>
      <c r="F22" s="6" t="n">
        <v>10000</v>
      </c>
      <c r="G22" s="6" t="n">
        <v>20000</v>
      </c>
      <c r="H22" s="6" t="inlineStr">
        <is>
          <t>Verify on FoSCoS for the chosen model (own licence vs. loan-licence with co-packer).</t>
        </is>
      </c>
    </row>
    <row r="23">
      <c r="A23" s="5" t="inlineStr">
        <is>
          <t>recdays</t>
        </is>
      </c>
      <c r="B23" s="5" t="inlineStr">
        <is>
          <t>Receivable credit days (general trade)</t>
        </is>
      </c>
      <c r="C23" s="5" t="inlineStr">
        <is>
          <t>days</t>
        </is>
      </c>
      <c r="D23" s="5" t="inlineStr">
        <is>
          <t>ASSUMED</t>
        </is>
      </c>
      <c r="E23" s="5" t="n">
        <v>0</v>
      </c>
      <c r="F23" s="5" t="n">
        <v>30</v>
      </c>
      <c r="G23" s="5" t="n">
        <v>45</v>
      </c>
      <c r="H23" s="5" t="inlineStr">
        <is>
          <t>Assumption.</t>
        </is>
      </c>
    </row>
    <row r="24">
      <c r="A24" s="5" t="inlineStr">
        <is>
          <t>sellmonths</t>
        </is>
      </c>
      <c r="B24" s="5" t="inlineStr">
        <is>
          <t>Months to sell one batch</t>
        </is>
      </c>
      <c r="C24" s="5" t="inlineStr">
        <is>
          <t>months</t>
        </is>
      </c>
      <c r="D24" s="5" t="inlineStr">
        <is>
          <t>ASSUMED</t>
        </is>
      </c>
      <c r="E24" s="5" t="n">
        <v>2</v>
      </c>
      <c r="F24" s="5" t="n">
        <v>3</v>
      </c>
      <c r="G24" s="5" t="n">
        <v>6</v>
      </c>
      <c r="H24" s="5" t="inlineStr">
        <is>
          <t>Assumption.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80" customWidth="1" min="9" max="9"/>
  </cols>
  <sheetData>
    <row r="1">
      <c r="A1" s="1" t="inlineStr">
        <is>
          <t>FORMULATION-SPECIFIC INPUTS (Rs per can ex-GST). Natural-fruit values are HYPOTHETICAL: no manufacturer has quoted them.</t>
        </is>
      </c>
    </row>
    <row r="3">
      <c r="A3" s="7" t="inlineStr">
        <is>
          <t>Key</t>
        </is>
      </c>
      <c r="B3" s="7" t="inlineStr">
        <is>
          <t>Description</t>
        </is>
      </c>
      <c r="C3" s="7" t="inlineStr">
        <is>
          <t>Unit</t>
        </is>
      </c>
      <c r="D3" s="7" t="inlineStr">
        <is>
          <t>Powder (artificial flavour)</t>
        </is>
      </c>
      <c r="E3" s="7" t="inlineStr">
        <is>
          <t>Blueberry (real fruit/juice)</t>
        </is>
      </c>
      <c r="F3" s="7" t="inlineStr">
        <is>
          <t>Lemon (juice/natural flavour)</t>
        </is>
      </c>
      <c r="G3" s="7" t="inlineStr">
        <is>
          <t>Coconut (coconut-water base)</t>
        </is>
      </c>
      <c r="H3" s="7" t="inlineStr">
        <is>
          <t>Type</t>
        </is>
      </c>
      <c r="I3" s="7" t="inlineStr">
        <is>
          <t>Rationale</t>
        </is>
      </c>
      <c r="J3" s="7" t="inlineStr">
        <is>
          <t>Rationale</t>
        </is>
      </c>
    </row>
    <row r="4">
      <c r="A4" s="4" t="inlineStr">
        <is>
          <t>ing</t>
        </is>
      </c>
      <c r="B4" s="4" t="inlineStr">
        <is>
          <t>Base ingredient system: sweetener, acids, caffeine, taurine/vitamins, preservative, flavour</t>
        </is>
      </c>
      <c r="C4" s="4" t="inlineStr">
        <is>
          <t>Rs/can</t>
        </is>
      </c>
      <c r="D4" s="4" t="n">
        <v>8</v>
      </c>
      <c r="E4" s="4" t="n">
        <v>8</v>
      </c>
      <c r="F4" s="4" t="n">
        <v>8</v>
      </c>
      <c r="G4" s="4" t="n">
        <v>6</v>
      </c>
      <c r="H4" s="4" t="inlineStr">
        <is>
          <t>RESEARCHED</t>
        </is>
      </c>
      <c r="I4" s="4" t="inlineStr">
        <is>
          <t>S41 blog Rs 8-12 (generic). Coconut base assumes coconut water replaces most water.</t>
        </is>
      </c>
    </row>
    <row r="5">
      <c r="A5" s="8" t="inlineStr">
        <is>
          <t>fruit</t>
        </is>
      </c>
      <c r="B5" s="8" t="inlineStr">
        <is>
          <t>Fruit adder: real fruit/juice/puree/concentrate or natural flavour system</t>
        </is>
      </c>
      <c r="C5" s="8" t="inlineStr">
        <is>
          <t>Rs/can</t>
        </is>
      </c>
      <c r="D5" s="5" t="n">
        <v>0</v>
      </c>
      <c r="E5" s="8" t="n">
        <v>12</v>
      </c>
      <c r="F5" s="8" t="n">
        <v>2</v>
      </c>
      <c r="G5" s="8" t="n">
        <v>15</v>
      </c>
      <c r="H5" s="8" t="inlineStr">
        <is>
          <t>HYPOTHETICAL</t>
        </is>
      </c>
      <c r="I5" s="8" t="inlineStr">
        <is>
          <t>NO PRICE FOUND. Blueberry largely imported; coconut water is most of the fill volume. Range used in Sensitivity: Bb 5-25, Le 1-5, Co 8-25.</t>
        </is>
      </c>
    </row>
    <row r="6">
      <c r="A6" s="8" t="inlineStr">
        <is>
          <t>proc</t>
        </is>
      </c>
      <c r="B6" s="8" t="inlineStr">
        <is>
          <t>Processing adder: stabiliser, homogenisation, hot-fill/tunnel pasteurisation, O2 control, low-acid controls</t>
        </is>
      </c>
      <c r="C6" s="8" t="inlineStr">
        <is>
          <t>Rs/can</t>
        </is>
      </c>
      <c r="D6" s="5" t="n">
        <v>0</v>
      </c>
      <c r="E6" s="8" t="n">
        <v>2</v>
      </c>
      <c r="F6" s="8" t="n">
        <v>0.5</v>
      </c>
      <c r="G6" s="8" t="n">
        <v>4</v>
      </c>
      <c r="H6" s="8" t="inlineStr">
        <is>
          <t>HYPOTHETICAL</t>
        </is>
      </c>
      <c r="I6" s="8" t="inlineStr">
        <is>
          <t>Coconut water perishable/enzymatic (S57); anthocyanins heat-labile (S54).</t>
        </is>
      </c>
    </row>
    <row r="7">
      <c r="A7" s="8" t="inlineStr">
        <is>
          <t>npd</t>
        </is>
      </c>
      <c r="B7" s="8" t="inlineStr">
        <is>
          <t>New product development fee per flavour</t>
        </is>
      </c>
      <c r="C7" s="8" t="inlineStr">
        <is>
          <t>Rs</t>
        </is>
      </c>
      <c r="D7" s="5" t="n">
        <v>25000</v>
      </c>
      <c r="E7" s="8" t="n">
        <v>100000</v>
      </c>
      <c r="F7" s="8" t="n">
        <v>75000</v>
      </c>
      <c r="G7" s="8" t="n">
        <v>150000</v>
      </c>
      <c r="H7" s="8" t="inlineStr">
        <is>
          <t>HYPOTHETICAL</t>
        </is>
      </c>
      <c r="I7" s="8" t="inlineStr">
        <is>
          <t>Placeholder. Request quotes from 3 manufacturers.</t>
        </is>
      </c>
    </row>
    <row r="8">
      <c r="A8" s="8" t="inlineStr">
        <is>
          <t>shelf</t>
        </is>
      </c>
      <c r="B8" s="8" t="inlineStr">
        <is>
          <t>Shelf-life &amp; stability study per flavour</t>
        </is>
      </c>
      <c r="C8" s="8" t="inlineStr">
        <is>
          <t>Rs</t>
        </is>
      </c>
      <c r="D8" s="5" t="n">
        <v>30000</v>
      </c>
      <c r="E8" s="8" t="n">
        <v>60000</v>
      </c>
      <c r="F8" s="8" t="n">
        <v>50000</v>
      </c>
      <c r="G8" s="8" t="n">
        <v>75000</v>
      </c>
      <c r="H8" s="8" t="inlineStr">
        <is>
          <t>HYPOTHETICAL</t>
        </is>
      </c>
      <c r="I8" s="8" t="inlineStr">
        <is>
          <t>Placeholder. Coconut low-acid validation may cost more.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SCENARIOS: one flavour per column. Volumes are per flavour. All values Rs ex-GST unless stated.</t>
        </is>
      </c>
    </row>
    <row r="3">
      <c r="A3" s="11" t="inlineStr">
        <is>
          <t>Line item</t>
        </is>
      </c>
      <c r="B3" s="11" t="inlineStr">
        <is>
          <t>Formula / note</t>
        </is>
      </c>
      <c r="C3" s="12" t="inlineStr">
        <is>
          <t>Powder 2,000</t>
        </is>
      </c>
      <c r="D3" s="12" t="inlineStr">
        <is>
          <t>Powder 5,000</t>
        </is>
      </c>
      <c r="E3" s="12" t="inlineStr">
        <is>
          <t>Powder 10,000</t>
        </is>
      </c>
      <c r="F3" s="12" t="inlineStr">
        <is>
          <t>Blueberry 2,000</t>
        </is>
      </c>
      <c r="G3" s="12" t="inlineStr">
        <is>
          <t>Blueberry 5,000</t>
        </is>
      </c>
      <c r="H3" s="12" t="inlineStr">
        <is>
          <t>Blueberry 10,000</t>
        </is>
      </c>
      <c r="I3" s="12" t="inlineStr">
        <is>
          <t>Lemon 2,000</t>
        </is>
      </c>
      <c r="J3" s="12" t="inlineStr">
        <is>
          <t>Lemon 5,000</t>
        </is>
      </c>
      <c r="K3" s="12" t="inlineStr">
        <is>
          <t>Lemon 10,000</t>
        </is>
      </c>
      <c r="L3" s="12" t="inlineStr">
        <is>
          <t>Coconut 2,000</t>
        </is>
      </c>
      <c r="M3" s="12" t="inlineStr">
        <is>
          <t>Coconut 5,000</t>
        </is>
      </c>
      <c r="N3" s="12" t="inlineStr">
        <is>
          <t>Coconut 10,000</t>
        </is>
      </c>
    </row>
    <row r="5">
      <c r="A5" t="inlineStr">
        <is>
          <t>Formulation index (0 Powder,1 Blueberry,2 Lemon,3 Coconut)</t>
        </is>
      </c>
      <c r="C5" s="13" t="n">
        <v>0</v>
      </c>
      <c r="D5" s="13" t="n">
        <v>0</v>
      </c>
      <c r="E5" s="13" t="n">
        <v>0</v>
      </c>
      <c r="F5" s="13" t="n">
        <v>1</v>
      </c>
      <c r="G5" s="13" t="n">
        <v>1</v>
      </c>
      <c r="H5" s="13" t="n">
        <v>1</v>
      </c>
      <c r="I5" s="13" t="n">
        <v>2</v>
      </c>
      <c r="J5" s="13" t="n">
        <v>2</v>
      </c>
      <c r="K5" s="13" t="n">
        <v>2</v>
      </c>
      <c r="L5" s="13" t="n">
        <v>3</v>
      </c>
      <c r="M5" s="13" t="n">
        <v>3</v>
      </c>
      <c r="N5" s="13" t="n">
        <v>3</v>
      </c>
    </row>
    <row r="6">
      <c r="A6" t="inlineStr">
        <is>
          <t>Units produced (this flavour)</t>
        </is>
      </c>
      <c r="C6" s="13" t="n">
        <v>2000</v>
      </c>
      <c r="D6" s="13" t="n">
        <v>5000</v>
      </c>
      <c r="E6" s="13" t="n">
        <v>10000</v>
      </c>
      <c r="F6" s="13" t="n">
        <v>2000</v>
      </c>
      <c r="G6" s="13" t="n">
        <v>5000</v>
      </c>
      <c r="H6" s="13" t="n">
        <v>10000</v>
      </c>
      <c r="I6" s="13" t="n">
        <v>2000</v>
      </c>
      <c r="J6" s="13" t="n">
        <v>5000</v>
      </c>
      <c r="K6" s="13" t="n">
        <v>10000</v>
      </c>
      <c r="L6" s="13" t="n">
        <v>2000</v>
      </c>
      <c r="M6" s="13" t="n">
        <v>5000</v>
      </c>
      <c r="N6" s="13" t="n">
        <v>10000</v>
      </c>
    </row>
    <row r="7">
      <c r="A7" t="inlineStr">
        <is>
          <t>Variable cost per can produced</t>
        </is>
      </c>
      <c r="C7" s="14">
        <f>Inputs!$F$4+Inputs!$F$5+Formulation_Inputs!$D$4+Formulation_Inputs!$D$5+Formulation_Inputs!$D$6+Inputs!$F$6+Inputs!$F$7+Inputs!$F$8+Inputs!$F$9</f>
        <v/>
      </c>
      <c r="D7" s="14">
        <f>Inputs!$F$4+Inputs!$F$5+Formulation_Inputs!$D$4+Formulation_Inputs!$D$5+Formulation_Inputs!$D$6+Inputs!$F$6+Inputs!$F$7+Inputs!$F$8+Inputs!$F$9</f>
        <v/>
      </c>
      <c r="E7" s="14">
        <f>Inputs!$F$4+Inputs!$F$5+Formulation_Inputs!$D$4+Formulation_Inputs!$D$5+Formulation_Inputs!$D$6+Inputs!$F$6+Inputs!$F$7+Inputs!$F$8+Inputs!$F$9</f>
        <v/>
      </c>
      <c r="F7" s="14">
        <f>Inputs!$F$4+Inputs!$F$5+Formulation_Inputs!$E$4+Formulation_Inputs!$E$5+Formulation_Inputs!$E$6+Inputs!$F$6+Inputs!$F$7+Inputs!$F$8+Inputs!$F$9</f>
        <v/>
      </c>
      <c r="G7" s="14">
        <f>Inputs!$F$4+Inputs!$F$5+Formulation_Inputs!$E$4+Formulation_Inputs!$E$5+Formulation_Inputs!$E$6+Inputs!$F$6+Inputs!$F$7+Inputs!$F$8+Inputs!$F$9</f>
        <v/>
      </c>
      <c r="H7" s="14">
        <f>Inputs!$F$4+Inputs!$F$5+Formulation_Inputs!$E$4+Formulation_Inputs!$E$5+Formulation_Inputs!$E$6+Inputs!$F$6+Inputs!$F$7+Inputs!$F$8+Inputs!$F$9</f>
        <v/>
      </c>
      <c r="I7" s="14">
        <f>Inputs!$F$4+Inputs!$F$5+Formulation_Inputs!$F$4+Formulation_Inputs!$F$5+Formulation_Inputs!$F$6+Inputs!$F$6+Inputs!$F$7+Inputs!$F$8+Inputs!$F$9</f>
        <v/>
      </c>
      <c r="J7" s="14">
        <f>Inputs!$F$4+Inputs!$F$5+Formulation_Inputs!$F$4+Formulation_Inputs!$F$5+Formulation_Inputs!$F$6+Inputs!$F$6+Inputs!$F$7+Inputs!$F$8+Inputs!$F$9</f>
        <v/>
      </c>
      <c r="K7" s="14">
        <f>Inputs!$F$4+Inputs!$F$5+Formulation_Inputs!$F$4+Formulation_Inputs!$F$5+Formulation_Inputs!$F$6+Inputs!$F$6+Inputs!$F$7+Inputs!$F$8+Inputs!$F$9</f>
        <v/>
      </c>
      <c r="L7" s="14">
        <f>Inputs!$F$4+Inputs!$F$5+Formulation_Inputs!$G$4+Formulation_Inputs!$G$5+Formulation_Inputs!$G$6+Inputs!$F$6+Inputs!$F$7+Inputs!$F$8+Inputs!$F$9</f>
        <v/>
      </c>
      <c r="M7" s="14">
        <f>Inputs!$F$4+Inputs!$F$5+Formulation_Inputs!$G$4+Formulation_Inputs!$G$5+Formulation_Inputs!$G$6+Inputs!$F$6+Inputs!$F$7+Inputs!$F$8+Inputs!$F$9</f>
        <v/>
      </c>
      <c r="N7" s="14">
        <f>Inputs!$F$4+Inputs!$F$5+Formulation_Inputs!$G$4+Formulation_Inputs!$G$5+Formulation_Inputs!$G$6+Inputs!$F$6+Inputs!$F$7+Inputs!$F$8+Inputs!$F$9</f>
        <v/>
      </c>
    </row>
    <row r="8">
      <c r="A8" t="inlineStr">
        <is>
          <t>Batch fixed costs (setup + release testing)</t>
        </is>
      </c>
      <c r="C8" s="13">
        <f>Inputs!$F$10+Inputs!$F$11</f>
        <v/>
      </c>
      <c r="D8" s="13">
        <f>Inputs!$F$10+Inputs!$F$11</f>
        <v/>
      </c>
      <c r="E8" s="13">
        <f>Inputs!$F$10+Inputs!$F$11</f>
        <v/>
      </c>
      <c r="F8" s="13">
        <f>Inputs!$F$10+Inputs!$F$11</f>
        <v/>
      </c>
      <c r="G8" s="13">
        <f>Inputs!$F$10+Inputs!$F$11</f>
        <v/>
      </c>
      <c r="H8" s="13">
        <f>Inputs!$F$10+Inputs!$F$11</f>
        <v/>
      </c>
      <c r="I8" s="13">
        <f>Inputs!$F$10+Inputs!$F$11</f>
        <v/>
      </c>
      <c r="J8" s="13">
        <f>Inputs!$F$10+Inputs!$F$11</f>
        <v/>
      </c>
      <c r="K8" s="13">
        <f>Inputs!$F$10+Inputs!$F$11</f>
        <v/>
      </c>
      <c r="L8" s="13">
        <f>Inputs!$F$10+Inputs!$F$11</f>
        <v/>
      </c>
      <c r="M8" s="13">
        <f>Inputs!$F$10+Inputs!$F$11</f>
        <v/>
      </c>
      <c r="N8" s="13">
        <f>Inputs!$F$10+Inputs!$F$11</f>
        <v/>
      </c>
    </row>
    <row r="9">
      <c r="A9" t="inlineStr">
        <is>
          <t>Batch fixed cost per can</t>
        </is>
      </c>
      <c r="C9" s="14">
        <f>C8/C6</f>
        <v/>
      </c>
      <c r="D9" s="14">
        <f>D8/D6</f>
        <v/>
      </c>
      <c r="E9" s="14">
        <f>E8/E6</f>
        <v/>
      </c>
      <c r="F9" s="14">
        <f>F8/F6</f>
        <v/>
      </c>
      <c r="G9" s="14">
        <f>G8/G6</f>
        <v/>
      </c>
      <c r="H9" s="14">
        <f>H8/H6</f>
        <v/>
      </c>
      <c r="I9" s="14">
        <f>I8/I6</f>
        <v/>
      </c>
      <c r="J9" s="14">
        <f>J8/J6</f>
        <v/>
      </c>
      <c r="K9" s="14">
        <f>K8/K6</f>
        <v/>
      </c>
      <c r="L9" s="14">
        <f>L8/L6</f>
        <v/>
      </c>
      <c r="M9" s="14">
        <f>M8/M6</f>
        <v/>
      </c>
      <c r="N9" s="14">
        <f>N8/N6</f>
        <v/>
      </c>
    </row>
    <row r="10">
      <c r="A10" t="inlineStr">
        <is>
          <t>Production cash cost of batch</t>
        </is>
      </c>
      <c r="C10" s="13">
        <f>C6*C7+C8</f>
        <v/>
      </c>
      <c r="D10" s="13">
        <f>D6*D7+D8</f>
        <v/>
      </c>
      <c r="E10" s="13">
        <f>E6*E7+E8</f>
        <v/>
      </c>
      <c r="F10" s="13">
        <f>F6*F7+F8</f>
        <v/>
      </c>
      <c r="G10" s="13">
        <f>G6*G7+G8</f>
        <v/>
      </c>
      <c r="H10" s="13">
        <f>H6*H7+H8</f>
        <v/>
      </c>
      <c r="I10" s="13">
        <f>I6*I7+I8</f>
        <v/>
      </c>
      <c r="J10" s="13">
        <f>J6*J7+J8</f>
        <v/>
      </c>
      <c r="K10" s="13">
        <f>K6*K7+K8</f>
        <v/>
      </c>
      <c r="L10" s="13">
        <f>L6*L7+L8</f>
        <v/>
      </c>
      <c r="M10" s="13">
        <f>M6*M7+M8</f>
        <v/>
      </c>
      <c r="N10" s="13">
        <f>N6*N7+N8</f>
        <v/>
      </c>
    </row>
    <row r="11">
      <c r="A11" t="inlineStr">
        <is>
          <t>Production cost per can produced</t>
        </is>
      </c>
      <c r="C11" s="14">
        <f>C10/C6</f>
        <v/>
      </c>
      <c r="D11" s="14">
        <f>D10/D6</f>
        <v/>
      </c>
      <c r="E11" s="14">
        <f>E10/E6</f>
        <v/>
      </c>
      <c r="F11" s="14">
        <f>F10/F6</f>
        <v/>
      </c>
      <c r="G11" s="14">
        <f>G10/G6</f>
        <v/>
      </c>
      <c r="H11" s="14">
        <f>H10/H6</f>
        <v/>
      </c>
      <c r="I11" s="14">
        <f>I10/I6</f>
        <v/>
      </c>
      <c r="J11" s="14">
        <f>J10/J6</f>
        <v/>
      </c>
      <c r="K11" s="14">
        <f>K10/K6</f>
        <v/>
      </c>
      <c r="L11" s="14">
        <f>L10/L6</f>
        <v/>
      </c>
      <c r="M11" s="14">
        <f>M10/M6</f>
        <v/>
      </c>
      <c r="N11" s="14">
        <f>N10/N6</f>
        <v/>
      </c>
    </row>
    <row r="12">
      <c r="A12" t="inlineStr">
        <is>
          <t>One-time costs attributable to this flavour (NPD + shelf-life + 1/3 of shared reg/design/licence)</t>
        </is>
      </c>
      <c r="C12" s="13">
        <f>Formulation_Inputs!$D$7+Formulation_Inputs!$D$8+(Inputs!$F$20+Inputs!$F$21+Inputs!$F$22)/3</f>
        <v/>
      </c>
      <c r="D12" s="13">
        <f>Formulation_Inputs!$D$7+Formulation_Inputs!$D$8+(Inputs!$F$20+Inputs!$F$21+Inputs!$F$22)/3</f>
        <v/>
      </c>
      <c r="E12" s="13">
        <f>Formulation_Inputs!$D$7+Formulation_Inputs!$D$8+(Inputs!$F$20+Inputs!$F$21+Inputs!$F$22)/3</f>
        <v/>
      </c>
      <c r="F12" s="13">
        <f>Formulation_Inputs!$E$7+Formulation_Inputs!$E$8+(Inputs!$F$20+Inputs!$F$21+Inputs!$F$22)/3</f>
        <v/>
      </c>
      <c r="G12" s="13">
        <f>Formulation_Inputs!$E$7+Formulation_Inputs!$E$8+(Inputs!$F$20+Inputs!$F$21+Inputs!$F$22)/3</f>
        <v/>
      </c>
      <c r="H12" s="13">
        <f>Formulation_Inputs!$E$7+Formulation_Inputs!$E$8+(Inputs!$F$20+Inputs!$F$21+Inputs!$F$22)/3</f>
        <v/>
      </c>
      <c r="I12" s="13">
        <f>Formulation_Inputs!$F$7+Formulation_Inputs!$F$8+(Inputs!$F$20+Inputs!$F$21+Inputs!$F$22)/3</f>
        <v/>
      </c>
      <c r="J12" s="13">
        <f>Formulation_Inputs!$F$7+Formulation_Inputs!$F$8+(Inputs!$F$20+Inputs!$F$21+Inputs!$F$22)/3</f>
        <v/>
      </c>
      <c r="K12" s="13">
        <f>Formulation_Inputs!$F$7+Formulation_Inputs!$F$8+(Inputs!$F$20+Inputs!$F$21+Inputs!$F$22)/3</f>
        <v/>
      </c>
      <c r="L12" s="13">
        <f>Formulation_Inputs!$G$7+Formulation_Inputs!$G$8+(Inputs!$F$20+Inputs!$F$21+Inputs!$F$22)/3</f>
        <v/>
      </c>
      <c r="M12" s="13">
        <f>Formulation_Inputs!$G$7+Formulation_Inputs!$G$8+(Inputs!$F$20+Inputs!$F$21+Inputs!$F$22)/3</f>
        <v/>
      </c>
      <c r="N12" s="13">
        <f>Formulation_Inputs!$G$7+Formulation_Inputs!$G$8+(Inputs!$F$20+Inputs!$F$21+Inputs!$F$22)/3</f>
        <v/>
      </c>
    </row>
    <row r="13">
      <c r="A13" t="inlineStr">
        <is>
          <t>Units lost to damage/QC</t>
        </is>
      </c>
      <c r="C13" s="13">
        <f>C6*Inputs!$F$12</f>
        <v/>
      </c>
      <c r="D13" s="13">
        <f>D6*Inputs!$F$12</f>
        <v/>
      </c>
      <c r="E13" s="13">
        <f>E6*Inputs!$F$12</f>
        <v/>
      </c>
      <c r="F13" s="13">
        <f>F6*Inputs!$F$12</f>
        <v/>
      </c>
      <c r="G13" s="13">
        <f>G6*Inputs!$F$12</f>
        <v/>
      </c>
      <c r="H13" s="13">
        <f>H6*Inputs!$F$12</f>
        <v/>
      </c>
      <c r="I13" s="13">
        <f>I6*Inputs!$F$12</f>
        <v/>
      </c>
      <c r="J13" s="13">
        <f>J6*Inputs!$F$12</f>
        <v/>
      </c>
      <c r="K13" s="13">
        <f>K6*Inputs!$F$12</f>
        <v/>
      </c>
      <c r="L13" s="13">
        <f>L6*Inputs!$F$12</f>
        <v/>
      </c>
      <c r="M13" s="13">
        <f>M6*Inputs!$F$12</f>
        <v/>
      </c>
      <c r="N13" s="13">
        <f>N6*Inputs!$F$12</f>
        <v/>
      </c>
    </row>
    <row r="14">
      <c r="A14" t="inlineStr">
        <is>
          <t>Units given as free samples</t>
        </is>
      </c>
      <c r="C14" s="13">
        <f>C6*Inputs!$F$13</f>
        <v/>
      </c>
      <c r="D14" s="13">
        <f>D6*Inputs!$F$13</f>
        <v/>
      </c>
      <c r="E14" s="13">
        <f>E6*Inputs!$F$13</f>
        <v/>
      </c>
      <c r="F14" s="13">
        <f>F6*Inputs!$F$13</f>
        <v/>
      </c>
      <c r="G14" s="13">
        <f>G6*Inputs!$F$13</f>
        <v/>
      </c>
      <c r="H14" s="13">
        <f>H6*Inputs!$F$13</f>
        <v/>
      </c>
      <c r="I14" s="13">
        <f>I6*Inputs!$F$13</f>
        <v/>
      </c>
      <c r="J14" s="13">
        <f>J6*Inputs!$F$13</f>
        <v/>
      </c>
      <c r="K14" s="13">
        <f>K6*Inputs!$F$13</f>
        <v/>
      </c>
      <c r="L14" s="13">
        <f>L6*Inputs!$F$13</f>
        <v/>
      </c>
      <c r="M14" s="13">
        <f>M6*Inputs!$F$13</f>
        <v/>
      </c>
      <c r="N14" s="13">
        <f>N6*Inputs!$F$13</f>
        <v/>
      </c>
    </row>
    <row r="15">
      <c r="A15" t="inlineStr">
        <is>
          <t>Saleable units</t>
        </is>
      </c>
      <c r="C15" s="13">
        <f>C6-C13-C14</f>
        <v/>
      </c>
      <c r="D15" s="13">
        <f>D6-D13-D14</f>
        <v/>
      </c>
      <c r="E15" s="13">
        <f>E6-E13-E14</f>
        <v/>
      </c>
      <c r="F15" s="13">
        <f>F6-F13-F14</f>
        <v/>
      </c>
      <c r="G15" s="13">
        <f>G6-G13-G14</f>
        <v/>
      </c>
      <c r="H15" s="13">
        <f>H6-H13-H14</f>
        <v/>
      </c>
      <c r="I15" s="13">
        <f>I6-I13-I14</f>
        <v/>
      </c>
      <c r="J15" s="13">
        <f>J6-J13-J14</f>
        <v/>
      </c>
      <c r="K15" s="13">
        <f>K6-K13-K14</f>
        <v/>
      </c>
      <c r="L15" s="13">
        <f>L6-L13-L14</f>
        <v/>
      </c>
      <c r="M15" s="13">
        <f>M6-M13-M14</f>
        <v/>
      </c>
      <c r="N15" s="13">
        <f>N6-N13-N14</f>
        <v/>
      </c>
    </row>
    <row r="16">
      <c r="A16" t="inlineStr">
        <is>
          <t>Units sold (saleable x sell-through)</t>
        </is>
      </c>
      <c r="C16" s="13">
        <f>C15*Inputs!$F$14</f>
        <v/>
      </c>
      <c r="D16" s="13">
        <f>D15*Inputs!$F$14</f>
        <v/>
      </c>
      <c r="E16" s="13">
        <f>E15*Inputs!$F$14</f>
        <v/>
      </c>
      <c r="F16" s="13">
        <f>F15*Inputs!$F$14</f>
        <v/>
      </c>
      <c r="G16" s="13">
        <f>G15*Inputs!$F$14</f>
        <v/>
      </c>
      <c r="H16" s="13">
        <f>H15*Inputs!$F$14</f>
        <v/>
      </c>
      <c r="I16" s="13">
        <f>I15*Inputs!$F$14</f>
        <v/>
      </c>
      <c r="J16" s="13">
        <f>J15*Inputs!$F$14</f>
        <v/>
      </c>
      <c r="K16" s="13">
        <f>K15*Inputs!$F$14</f>
        <v/>
      </c>
      <c r="L16" s="13">
        <f>L15*Inputs!$F$14</f>
        <v/>
      </c>
      <c r="M16" s="13">
        <f>M15*Inputs!$F$14</f>
        <v/>
      </c>
      <c r="N16" s="13">
        <f>N15*Inputs!$F$14</f>
        <v/>
      </c>
    </row>
    <row r="17">
      <c r="A17" t="inlineStr">
        <is>
          <t>Unsold / expired units</t>
        </is>
      </c>
      <c r="C17" s="13">
        <f>C15-C16</f>
        <v/>
      </c>
      <c r="D17" s="13">
        <f>D15-D16</f>
        <v/>
      </c>
      <c r="E17" s="13">
        <f>E15-E16</f>
        <v/>
      </c>
      <c r="F17" s="13">
        <f>F15-F16</f>
        <v/>
      </c>
      <c r="G17" s="13">
        <f>G15-G16</f>
        <v/>
      </c>
      <c r="H17" s="13">
        <f>H15-H16</f>
        <v/>
      </c>
      <c r="I17" s="13">
        <f>I15-I16</f>
        <v/>
      </c>
      <c r="J17" s="13">
        <f>J15-J16</f>
        <v/>
      </c>
      <c r="K17" s="13">
        <f>K15-K16</f>
        <v/>
      </c>
      <c r="L17" s="13">
        <f>L15-L16</f>
        <v/>
      </c>
      <c r="M17" s="13">
        <f>M15-M16</f>
        <v/>
      </c>
      <c r="N17" s="13">
        <f>N15-N16</f>
        <v/>
      </c>
    </row>
    <row r="18">
      <c r="A18" t="inlineStr">
        <is>
          <t>MRP (incl. 40% GST)</t>
        </is>
      </c>
      <c r="C18" s="14">
        <f>Inputs!$F$16</f>
        <v/>
      </c>
      <c r="D18" s="14">
        <f>Inputs!$F$16</f>
        <v/>
      </c>
      <c r="E18" s="14">
        <f>Inputs!$F$16</f>
        <v/>
      </c>
      <c r="F18" s="14">
        <f>Inputs!$F$16</f>
        <v/>
      </c>
      <c r="G18" s="14">
        <f>Inputs!$F$16</f>
        <v/>
      </c>
      <c r="H18" s="14">
        <f>Inputs!$F$16</f>
        <v/>
      </c>
      <c r="I18" s="14">
        <f>Inputs!$F$16</f>
        <v/>
      </c>
      <c r="J18" s="14">
        <f>Inputs!$F$16</f>
        <v/>
      </c>
      <c r="K18" s="14">
        <f>Inputs!$F$16</f>
        <v/>
      </c>
      <c r="L18" s="14">
        <f>Inputs!$F$16</f>
        <v/>
      </c>
      <c r="M18" s="14">
        <f>Inputs!$F$16</f>
        <v/>
      </c>
      <c r="N18" s="14">
        <f>Inputs!$F$16</f>
        <v/>
      </c>
    </row>
    <row r="19">
      <c r="A19" t="inlineStr">
        <is>
          <t>MRP ex-GST</t>
        </is>
      </c>
      <c r="C19" s="14">
        <f>C18/(1+Inputs!$F$15)</f>
        <v/>
      </c>
      <c r="D19" s="14">
        <f>D18/(1+Inputs!$F$15)</f>
        <v/>
      </c>
      <c r="E19" s="14">
        <f>E18/(1+Inputs!$F$15)</f>
        <v/>
      </c>
      <c r="F19" s="14">
        <f>F18/(1+Inputs!$F$15)</f>
        <v/>
      </c>
      <c r="G19" s="14">
        <f>G18/(1+Inputs!$F$15)</f>
        <v/>
      </c>
      <c r="H19" s="14">
        <f>H18/(1+Inputs!$F$15)</f>
        <v/>
      </c>
      <c r="I19" s="14">
        <f>I18/(1+Inputs!$F$15)</f>
        <v/>
      </c>
      <c r="J19" s="14">
        <f>J18/(1+Inputs!$F$15)</f>
        <v/>
      </c>
      <c r="K19" s="14">
        <f>K18/(1+Inputs!$F$15)</f>
        <v/>
      </c>
      <c r="L19" s="14">
        <f>L18/(1+Inputs!$F$15)</f>
        <v/>
      </c>
      <c r="M19" s="14">
        <f>M18/(1+Inputs!$F$15)</f>
        <v/>
      </c>
      <c r="N19" s="14">
        <f>N18/(1+Inputs!$F$15)</f>
        <v/>
      </c>
    </row>
    <row r="20">
      <c r="A20" t="inlineStr">
        <is>
          <t>GST per can paid to government</t>
        </is>
      </c>
      <c r="C20" s="14">
        <f>C18-C19</f>
        <v/>
      </c>
      <c r="D20" s="14">
        <f>D18-D19</f>
        <v/>
      </c>
      <c r="E20" s="14">
        <f>E18-E19</f>
        <v/>
      </c>
      <c r="F20" s="14">
        <f>F18-F19</f>
        <v/>
      </c>
      <c r="G20" s="14">
        <f>G18-G19</f>
        <v/>
      </c>
      <c r="H20" s="14">
        <f>H18-H19</f>
        <v/>
      </c>
      <c r="I20" s="14">
        <f>I18-I19</f>
        <v/>
      </c>
      <c r="J20" s="14">
        <f>J18-J19</f>
        <v/>
      </c>
      <c r="K20" s="14">
        <f>K18-K19</f>
        <v/>
      </c>
      <c r="L20" s="14">
        <f>L18-L19</f>
        <v/>
      </c>
      <c r="M20" s="14">
        <f>M18-M19</f>
        <v/>
      </c>
      <c r="N20" s="14">
        <f>N18-N19</f>
        <v/>
      </c>
    </row>
    <row r="21">
      <c r="A21" t="inlineStr">
        <is>
          <t>Retailer margin per can</t>
        </is>
      </c>
      <c r="C21" s="14">
        <f>C19*Inputs!$F$17</f>
        <v/>
      </c>
      <c r="D21" s="14">
        <f>D19*Inputs!$F$17</f>
        <v/>
      </c>
      <c r="E21" s="14">
        <f>E19*Inputs!$F$17</f>
        <v/>
      </c>
      <c r="F21" s="14">
        <f>F19*Inputs!$F$17</f>
        <v/>
      </c>
      <c r="G21" s="14">
        <f>G19*Inputs!$F$17</f>
        <v/>
      </c>
      <c r="H21" s="14">
        <f>H19*Inputs!$F$17</f>
        <v/>
      </c>
      <c r="I21" s="14">
        <f>I19*Inputs!$F$17</f>
        <v/>
      </c>
      <c r="J21" s="14">
        <f>J19*Inputs!$F$17</f>
        <v/>
      </c>
      <c r="K21" s="14">
        <f>K19*Inputs!$F$17</f>
        <v/>
      </c>
      <c r="L21" s="14">
        <f>L19*Inputs!$F$17</f>
        <v/>
      </c>
      <c r="M21" s="14">
        <f>M19*Inputs!$F$17</f>
        <v/>
      </c>
      <c r="N21" s="14">
        <f>N19*Inputs!$F$17</f>
        <v/>
      </c>
    </row>
    <row r="22">
      <c r="A22" t="inlineStr">
        <is>
          <t>Distributor margin per can</t>
        </is>
      </c>
      <c r="C22" s="14">
        <f>(C19-C21)*Inputs!$F$18</f>
        <v/>
      </c>
      <c r="D22" s="14">
        <f>(D19-D21)*Inputs!$F$18</f>
        <v/>
      </c>
      <c r="E22" s="14">
        <f>(E19-E21)*Inputs!$F$18</f>
        <v/>
      </c>
      <c r="F22" s="14">
        <f>(F19-F21)*Inputs!$F$18</f>
        <v/>
      </c>
      <c r="G22" s="14">
        <f>(G19-G21)*Inputs!$F$18</f>
        <v/>
      </c>
      <c r="H22" s="14">
        <f>(H19-H21)*Inputs!$F$18</f>
        <v/>
      </c>
      <c r="I22" s="14">
        <f>(I19-I21)*Inputs!$F$18</f>
        <v/>
      </c>
      <c r="J22" s="14">
        <f>(J19-J21)*Inputs!$F$18</f>
        <v/>
      </c>
      <c r="K22" s="14">
        <f>(K19-K21)*Inputs!$F$18</f>
        <v/>
      </c>
      <c r="L22" s="14">
        <f>(L19-L21)*Inputs!$F$18</f>
        <v/>
      </c>
      <c r="M22" s="14">
        <f>(M19-M21)*Inputs!$F$18</f>
        <v/>
      </c>
      <c r="N22" s="14">
        <f>(N19-N21)*Inputs!$F$18</f>
        <v/>
      </c>
    </row>
    <row r="23">
      <c r="A23" s="11" t="inlineStr">
        <is>
          <t>NET REALISATION to brand per can sold</t>
        </is>
      </c>
      <c r="B23" s="11" t="n"/>
      <c r="C23" s="15">
        <f>C19-C21-C22</f>
        <v/>
      </c>
      <c r="D23" s="15">
        <f>D19-D21-D22</f>
        <v/>
      </c>
      <c r="E23" s="15">
        <f>E19-E21-E22</f>
        <v/>
      </c>
      <c r="F23" s="15">
        <f>F19-F21-F22</f>
        <v/>
      </c>
      <c r="G23" s="15">
        <f>G19-G21-G22</f>
        <v/>
      </c>
      <c r="H23" s="15">
        <f>H19-H21-H22</f>
        <v/>
      </c>
      <c r="I23" s="15">
        <f>I19-I21-I22</f>
        <v/>
      </c>
      <c r="J23" s="15">
        <f>J19-J21-J22</f>
        <v/>
      </c>
      <c r="K23" s="15">
        <f>K19-K21-K22</f>
        <v/>
      </c>
      <c r="L23" s="15">
        <f>L19-L21-L22</f>
        <v/>
      </c>
      <c r="M23" s="15">
        <f>M19-M21-M22</f>
        <v/>
      </c>
      <c r="N23" s="15">
        <f>N19-N21-N22</f>
        <v/>
      </c>
    </row>
    <row r="24">
      <c r="A24" t="inlineStr">
        <is>
          <t>Revenue (net realisation x units sold)</t>
        </is>
      </c>
      <c r="C24" s="13">
        <f>C23*C16</f>
        <v/>
      </c>
      <c r="D24" s="13">
        <f>D23*D16</f>
        <v/>
      </c>
      <c r="E24" s="13">
        <f>E23*E16</f>
        <v/>
      </c>
      <c r="F24" s="13">
        <f>F23*F16</f>
        <v/>
      </c>
      <c r="G24" s="13">
        <f>G23*G16</f>
        <v/>
      </c>
      <c r="H24" s="13">
        <f>H23*H16</f>
        <v/>
      </c>
      <c r="I24" s="13">
        <f>I23*I16</f>
        <v/>
      </c>
      <c r="J24" s="13">
        <f>J23*J16</f>
        <v/>
      </c>
      <c r="K24" s="13">
        <f>K23*K16</f>
        <v/>
      </c>
      <c r="L24" s="13">
        <f>L23*L16</f>
        <v/>
      </c>
      <c r="M24" s="13">
        <f>M23*M16</f>
        <v/>
      </c>
      <c r="N24" s="13">
        <f>N23*N16</f>
        <v/>
      </c>
    </row>
    <row r="25">
      <c r="A25" t="inlineStr">
        <is>
          <t>Batch gross contribution (revenue - production cash cost)</t>
        </is>
      </c>
      <c r="C25" s="13">
        <f>C24-C10</f>
        <v/>
      </c>
      <c r="D25" s="13">
        <f>D24-D10</f>
        <v/>
      </c>
      <c r="E25" s="13">
        <f>E24-E10</f>
        <v/>
      </c>
      <c r="F25" s="13">
        <f>F24-F10</f>
        <v/>
      </c>
      <c r="G25" s="13">
        <f>G24-G10</f>
        <v/>
      </c>
      <c r="H25" s="13">
        <f>H24-H10</f>
        <v/>
      </c>
      <c r="I25" s="13">
        <f>I24-I10</f>
        <v/>
      </c>
      <c r="J25" s="13">
        <f>J24-J10</f>
        <v/>
      </c>
      <c r="K25" s="13">
        <f>K24-K10</f>
        <v/>
      </c>
      <c r="L25" s="13">
        <f>L24-L10</f>
        <v/>
      </c>
      <c r="M25" s="13">
        <f>M24-M10</f>
        <v/>
      </c>
      <c r="N25" s="13">
        <f>N24-N10</f>
        <v/>
      </c>
    </row>
    <row r="26">
      <c r="A26" t="inlineStr">
        <is>
          <t>Production cost per can SOLD (absorbs waste, samples, unsold)</t>
        </is>
      </c>
      <c r="C26" s="14">
        <f>C10/C16</f>
        <v/>
      </c>
      <c r="D26" s="14">
        <f>D10/D16</f>
        <v/>
      </c>
      <c r="E26" s="14">
        <f>E10/E16</f>
        <v/>
      </c>
      <c r="F26" s="14">
        <f>F10/F16</f>
        <v/>
      </c>
      <c r="G26" s="14">
        <f>G10/G16</f>
        <v/>
      </c>
      <c r="H26" s="14">
        <f>H10/H16</f>
        <v/>
      </c>
      <c r="I26" s="14">
        <f>I10/I16</f>
        <v/>
      </c>
      <c r="J26" s="14">
        <f>J10/J16</f>
        <v/>
      </c>
      <c r="K26" s="14">
        <f>K10/K16</f>
        <v/>
      </c>
      <c r="L26" s="14">
        <f>L10/L16</f>
        <v/>
      </c>
      <c r="M26" s="14">
        <f>M10/M16</f>
        <v/>
      </c>
      <c r="N26" s="14">
        <f>N10/N16</f>
        <v/>
      </c>
    </row>
    <row r="27">
      <c r="A27" s="11" t="inlineStr">
        <is>
          <t>Contribution per can sold</t>
        </is>
      </c>
      <c r="B27" s="11" t="n"/>
      <c r="C27" s="15">
        <f>C23-C26</f>
        <v/>
      </c>
      <c r="D27" s="15">
        <f>D23-D26</f>
        <v/>
      </c>
      <c r="E27" s="15">
        <f>E23-E26</f>
        <v/>
      </c>
      <c r="F27" s="15">
        <f>F23-F26</f>
        <v/>
      </c>
      <c r="G27" s="15">
        <f>G23-G26</f>
        <v/>
      </c>
      <c r="H27" s="15">
        <f>H23-H26</f>
        <v/>
      </c>
      <c r="I27" s="15">
        <f>I23-I26</f>
        <v/>
      </c>
      <c r="J27" s="15">
        <f>J23-J26</f>
        <v/>
      </c>
      <c r="K27" s="15">
        <f>K23-K26</f>
        <v/>
      </c>
      <c r="L27" s="15">
        <f>L23-L26</f>
        <v/>
      </c>
      <c r="M27" s="15">
        <f>M23-M26</f>
        <v/>
      </c>
      <c r="N27" s="15">
        <f>N23-N26</f>
        <v/>
      </c>
    </row>
    <row r="28">
      <c r="A28" t="inlineStr">
        <is>
          <t>Contribution margin % of net realisation</t>
        </is>
      </c>
      <c r="C28" s="16">
        <f>C27/C23</f>
        <v/>
      </c>
      <c r="D28" s="16">
        <f>D27/D23</f>
        <v/>
      </c>
      <c r="E28" s="16">
        <f>E27/E23</f>
        <v/>
      </c>
      <c r="F28" s="16">
        <f>F27/F23</f>
        <v/>
      </c>
      <c r="G28" s="16">
        <f>G27/G23</f>
        <v/>
      </c>
      <c r="H28" s="16">
        <f>H27/H23</f>
        <v/>
      </c>
      <c r="I28" s="16">
        <f>I27/I23</f>
        <v/>
      </c>
      <c r="J28" s="16">
        <f>J27/J23</f>
        <v/>
      </c>
      <c r="K28" s="16">
        <f>K27/K23</f>
        <v/>
      </c>
      <c r="L28" s="16">
        <f>L27/L23</f>
        <v/>
      </c>
      <c r="M28" s="16">
        <f>M27/M23</f>
        <v/>
      </c>
      <c r="N28" s="16">
        <f>N27/N23</f>
        <v/>
      </c>
    </row>
    <row r="29">
      <c r="A29" s="11" t="inlineStr">
        <is>
          <t>Contribution after one-time costs and launch marketing</t>
        </is>
      </c>
      <c r="B29" s="11" t="n"/>
      <c r="C29" s="17">
        <f>C25-C12-Inputs!$F$19</f>
        <v/>
      </c>
      <c r="D29" s="17">
        <f>D25-D12-Inputs!$F$19</f>
        <v/>
      </c>
      <c r="E29" s="17">
        <f>E25-E12-Inputs!$F$19</f>
        <v/>
      </c>
      <c r="F29" s="17">
        <f>F25-F12-Inputs!$F$19</f>
        <v/>
      </c>
      <c r="G29" s="17">
        <f>G25-G12-Inputs!$F$19</f>
        <v/>
      </c>
      <c r="H29" s="17">
        <f>H25-H12-Inputs!$F$19</f>
        <v/>
      </c>
      <c r="I29" s="17">
        <f>I25-I12-Inputs!$F$19</f>
        <v/>
      </c>
      <c r="J29" s="17">
        <f>J25-J12-Inputs!$F$19</f>
        <v/>
      </c>
      <c r="K29" s="17">
        <f>K25-K12-Inputs!$F$19</f>
        <v/>
      </c>
      <c r="L29" s="17">
        <f>L25-L12-Inputs!$F$19</f>
        <v/>
      </c>
      <c r="M29" s="17">
        <f>M25-M12-Inputs!$F$19</f>
        <v/>
      </c>
      <c r="N29" s="17">
        <f>N25-N12-Inputs!$F$19</f>
        <v/>
      </c>
    </row>
    <row r="30">
      <c r="A30" t="inlineStr">
        <is>
          <t>Variable cost per can sold (excl. batch fixed)</t>
        </is>
      </c>
      <c r="C30" s="14">
        <f>C7*C6/C16</f>
        <v/>
      </c>
      <c r="D30" s="14">
        <f>D7*D6/D16</f>
        <v/>
      </c>
      <c r="E30" s="14">
        <f>E7*E6/E16</f>
        <v/>
      </c>
      <c r="F30" s="14">
        <f>F7*F6/F16</f>
        <v/>
      </c>
      <c r="G30" s="14">
        <f>G7*G6/G16</f>
        <v/>
      </c>
      <c r="H30" s="14">
        <f>H7*H6/H16</f>
        <v/>
      </c>
      <c r="I30" s="14">
        <f>I7*I6/I16</f>
        <v/>
      </c>
      <c r="J30" s="14">
        <f>J7*J6/J16</f>
        <v/>
      </c>
      <c r="K30" s="14">
        <f>K7*K6/K16</f>
        <v/>
      </c>
      <c r="L30" s="14">
        <f>L7*L6/L16</f>
        <v/>
      </c>
      <c r="M30" s="14">
        <f>M7*M6/M16</f>
        <v/>
      </c>
      <c r="N30" s="14">
        <f>N7*N6/N16</f>
        <v/>
      </c>
    </row>
    <row r="31">
      <c r="A31" s="11" t="inlineStr">
        <is>
          <t>Break-even units SOLD to recover batch fixed + one-time + launch (if contribution &gt; 0)</t>
        </is>
      </c>
      <c r="B31" s="11" t="n"/>
      <c r="C31" s="17">
        <f>IF(C23-C30&gt;0,(C8+C12+Inputs!$F$19)/(C23-C30),"NOT REACHABLE at this MRP")</f>
        <v/>
      </c>
      <c r="D31" s="17">
        <f>IF(D23-D30&gt;0,(D8+D12+Inputs!$F$19)/(D23-D30),"NOT REACHABLE at this MRP")</f>
        <v/>
      </c>
      <c r="E31" s="17">
        <f>IF(E23-E30&gt;0,(E8+E12+Inputs!$F$19)/(E23-E30),"NOT REACHABLE at this MRP")</f>
        <v/>
      </c>
      <c r="F31" s="17">
        <f>IF(F23-F30&gt;0,(F8+F12+Inputs!$F$19)/(F23-F30),"NOT REACHABLE at this MRP")</f>
        <v/>
      </c>
      <c r="G31" s="17">
        <f>IF(G23-G30&gt;0,(G8+G12+Inputs!$F$19)/(G23-G30),"NOT REACHABLE at this MRP")</f>
        <v/>
      </c>
      <c r="H31" s="17">
        <f>IF(H23-H30&gt;0,(H8+H12+Inputs!$F$19)/(H23-H30),"NOT REACHABLE at this MRP")</f>
        <v/>
      </c>
      <c r="I31" s="17">
        <f>IF(I23-I30&gt;0,(I8+I12+Inputs!$F$19)/(I23-I30),"NOT REACHABLE at this MRP")</f>
        <v/>
      </c>
      <c r="J31" s="17">
        <f>IF(J23-J30&gt;0,(J8+J12+Inputs!$F$19)/(J23-J30),"NOT REACHABLE at this MRP")</f>
        <v/>
      </c>
      <c r="K31" s="17">
        <f>IF(K23-K30&gt;0,(K8+K12+Inputs!$F$19)/(K23-K30),"NOT REACHABLE at this MRP")</f>
        <v/>
      </c>
      <c r="L31" s="17">
        <f>IF(L23-L30&gt;0,(L8+L12+Inputs!$F$19)/(L23-L30),"NOT REACHABLE at this MRP")</f>
        <v/>
      </c>
      <c r="M31" s="17">
        <f>IF(M23-M30&gt;0,(M8+M12+Inputs!$F$19)/(M23-M30),"NOT REACHABLE at this MRP")</f>
        <v/>
      </c>
      <c r="N31" s="17">
        <f>IF(N23-N30&gt;0,(N8+N12+Inputs!$F$19)/(N23-N30),"NOT REACHABLE at this MRP")</f>
        <v/>
      </c>
    </row>
    <row r="32">
      <c r="A32" t="inlineStr">
        <is>
          <t>Receivables float (credit days / selling period x revenue)</t>
        </is>
      </c>
      <c r="C32" s="13">
        <f>C24*Inputs!$F$23/(Inputs!$F$24*30)</f>
        <v/>
      </c>
      <c r="D32" s="13">
        <f>D24*Inputs!$F$23/(Inputs!$F$24*30)</f>
        <v/>
      </c>
      <c r="E32" s="13">
        <f>E24*Inputs!$F$23/(Inputs!$F$24*30)</f>
        <v/>
      </c>
      <c r="F32" s="13">
        <f>F24*Inputs!$F$23/(Inputs!$F$24*30)</f>
        <v/>
      </c>
      <c r="G32" s="13">
        <f>G24*Inputs!$F$23/(Inputs!$F$24*30)</f>
        <v/>
      </c>
      <c r="H32" s="13">
        <f>H24*Inputs!$F$23/(Inputs!$F$24*30)</f>
        <v/>
      </c>
      <c r="I32" s="13">
        <f>I24*Inputs!$F$23/(Inputs!$F$24*30)</f>
        <v/>
      </c>
      <c r="J32" s="13">
        <f>J24*Inputs!$F$23/(Inputs!$F$24*30)</f>
        <v/>
      </c>
      <c r="K32" s="13">
        <f>K24*Inputs!$F$23/(Inputs!$F$24*30)</f>
        <v/>
      </c>
      <c r="L32" s="13">
        <f>L24*Inputs!$F$23/(Inputs!$F$24*30)</f>
        <v/>
      </c>
      <c r="M32" s="13">
        <f>M24*Inputs!$F$23/(Inputs!$F$24*30)</f>
        <v/>
      </c>
      <c r="N32" s="13">
        <f>N24*Inputs!$F$23/(Inputs!$F$24*30)</f>
        <v/>
      </c>
    </row>
    <row r="33">
      <c r="A33" s="11" t="inlineStr">
        <is>
          <t>FIRST-BATCH CASH NEED (production + one-time + launch + receivables)</t>
        </is>
      </c>
      <c r="B33" s="11" t="n"/>
      <c r="C33" s="17">
        <f>C10+C12+Inputs!$F$19+C32</f>
        <v/>
      </c>
      <c r="D33" s="17">
        <f>D10+D12+Inputs!$F$19+D32</f>
        <v/>
      </c>
      <c r="E33" s="17">
        <f>E10+E12+Inputs!$F$19+E32</f>
        <v/>
      </c>
      <c r="F33" s="17">
        <f>F10+F12+Inputs!$F$19+F32</f>
        <v/>
      </c>
      <c r="G33" s="17">
        <f>G10+G12+Inputs!$F$19+G32</f>
        <v/>
      </c>
      <c r="H33" s="17">
        <f>H10+H12+Inputs!$F$19+H32</f>
        <v/>
      </c>
      <c r="I33" s="17">
        <f>I10+I12+Inputs!$F$19+I32</f>
        <v/>
      </c>
      <c r="J33" s="17">
        <f>J10+J12+Inputs!$F$19+J32</f>
        <v/>
      </c>
      <c r="K33" s="17">
        <f>K10+K12+Inputs!$F$19+K32</f>
        <v/>
      </c>
      <c r="L33" s="17">
        <f>L10+L12+Inputs!$F$19+L32</f>
        <v/>
      </c>
      <c r="M33" s="17">
        <f>M10+M12+Inputs!$F$19+M32</f>
        <v/>
      </c>
      <c r="N33" s="17">
        <f>N10+N12+Inputs!$F$19+N32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6" customWidth="1" min="4" max="4"/>
    <col width="22" customWidth="1" min="5" max="5"/>
    <col width="14" customWidth="1" min="6" max="6"/>
    <col width="22" customWidth="1" min="7" max="7"/>
    <col width="14" customWidth="1" min="8" max="8"/>
    <col width="22" customWidth="1" min="9" max="9"/>
  </cols>
  <sheetData>
    <row r="1">
      <c r="A1" s="1" t="inlineStr">
        <is>
          <t>WHAT MUST BE TRUE: same model with every cost at LOW and every revenue driver at its favourable value (per can produced, 10,000 units per flavour)</t>
        </is>
      </c>
    </row>
    <row r="2">
      <c r="A2" t="inlineStr">
        <is>
          <t>Favourable settings: can, decoration, filling, secondary, freight, warehousing, setup, QA at LOW; waste 1%, samples 5%, sell-through 95%, retailer 10%, distributor 5%; fruit and processing adders at their LOW hypothetical values.</t>
        </is>
      </c>
    </row>
    <row r="4">
      <c r="A4" s="7" t="inlineStr">
        <is>
          <t>Formulation</t>
        </is>
      </c>
      <c r="B4" s="7" t="inlineStr">
        <is>
          <t>Variable cost/can (best)</t>
        </is>
      </c>
      <c r="C4" s="7" t="inlineStr">
        <is>
          <t>Batch fixed/can</t>
        </is>
      </c>
      <c r="D4" s="7" t="inlineStr">
        <is>
          <t>NR per can at MRP Rs 70</t>
        </is>
      </c>
      <c r="E4" s="7" t="inlineStr">
        <is>
          <t>Contribution/can produced at Rs 70</t>
        </is>
      </c>
      <c r="F4" s="7" t="inlineStr">
        <is>
          <t>NR at Rs 99</t>
        </is>
      </c>
      <c r="G4" s="7" t="inlineStr">
        <is>
          <t>Contribution/can produced at Rs 99</t>
        </is>
      </c>
      <c r="H4" s="7" t="inlineStr">
        <is>
          <t>NR at Rs 125</t>
        </is>
      </c>
      <c r="I4" s="7" t="inlineStr">
        <is>
          <t>Contribution/can produced at Rs 125</t>
        </is>
      </c>
    </row>
    <row r="5">
      <c r="A5" t="inlineStr">
        <is>
          <t>Powder (artificial flavour)</t>
        </is>
      </c>
      <c r="B5" s="14">
        <f>Inputs!$E$4+Inputs!$E$5+Formulation_Inputs!$D$4+0+0+Inputs!$E$6+Inputs!$E$7+Inputs!$E$8+Inputs!$E$9</f>
        <v/>
      </c>
      <c r="C5" s="14">
        <f>(Inputs!$E$10+Inputs!$E$11)/10000</f>
        <v/>
      </c>
      <c r="D5" s="14">
        <f>70/(1+Inputs!$F$15)*(1-0.10)*(1-0.05)</f>
        <v/>
      </c>
      <c r="E5" s="14">
        <f>D5*(1-0.01-0.05)*0.95-B5-C5</f>
        <v/>
      </c>
      <c r="F5" s="14">
        <f>99/(1+Inputs!$F$15)*(1-0.10)*(1-0.05)</f>
        <v/>
      </c>
      <c r="G5" s="14">
        <f>F5*(1-0.01-0.05)*0.95-B5-C5</f>
        <v/>
      </c>
      <c r="H5" s="14">
        <f>125/(1+Inputs!$F$15)*(1-0.10)*(1-0.05)</f>
        <v/>
      </c>
      <c r="I5" s="14">
        <f>H5*(1-0.01-0.05)*0.95-B5-C5</f>
        <v/>
      </c>
    </row>
    <row r="6">
      <c r="A6" t="inlineStr">
        <is>
          <t>Blueberry (real fruit/juice)</t>
        </is>
      </c>
      <c r="B6" s="14">
        <f>Inputs!$E$4+Inputs!$E$5+Formulation_Inputs!$E$4+5+0+Inputs!$E$6+Inputs!$E$7+Inputs!$E$8+Inputs!$E$9</f>
        <v/>
      </c>
      <c r="C6" s="14">
        <f>(Inputs!$E$10+Inputs!$E$11)/10000</f>
        <v/>
      </c>
      <c r="D6" s="14">
        <f>70/(1+Inputs!$F$15)*(1-0.10)*(1-0.05)</f>
        <v/>
      </c>
      <c r="E6" s="14">
        <f>D6*(1-0.01-0.05)*0.95-B6-C6</f>
        <v/>
      </c>
      <c r="F6" s="14">
        <f>99/(1+Inputs!$F$15)*(1-0.10)*(1-0.05)</f>
        <v/>
      </c>
      <c r="G6" s="14">
        <f>F6*(1-0.01-0.05)*0.95-B6-C6</f>
        <v/>
      </c>
      <c r="H6" s="14">
        <f>125/(1+Inputs!$F$15)*(1-0.10)*(1-0.05)</f>
        <v/>
      </c>
      <c r="I6" s="14">
        <f>H6*(1-0.01-0.05)*0.95-B6-C6</f>
        <v/>
      </c>
    </row>
    <row r="7">
      <c r="A7" t="inlineStr">
        <is>
          <t>Lemon (juice/natural flavour)</t>
        </is>
      </c>
      <c r="B7" s="14">
        <f>Inputs!$E$4+Inputs!$E$5+Formulation_Inputs!$F$4+1+0+Inputs!$E$6+Inputs!$E$7+Inputs!$E$8+Inputs!$E$9</f>
        <v/>
      </c>
      <c r="C7" s="14">
        <f>(Inputs!$E$10+Inputs!$E$11)/10000</f>
        <v/>
      </c>
      <c r="D7" s="14">
        <f>70/(1+Inputs!$F$15)*(1-0.10)*(1-0.05)</f>
        <v/>
      </c>
      <c r="E7" s="14">
        <f>D7*(1-0.01-0.05)*0.95-B7-C7</f>
        <v/>
      </c>
      <c r="F7" s="14">
        <f>99/(1+Inputs!$F$15)*(1-0.10)*(1-0.05)</f>
        <v/>
      </c>
      <c r="G7" s="14">
        <f>F7*(1-0.01-0.05)*0.95-B7-C7</f>
        <v/>
      </c>
      <c r="H7" s="14">
        <f>125/(1+Inputs!$F$15)*(1-0.10)*(1-0.05)</f>
        <v/>
      </c>
      <c r="I7" s="14">
        <f>H7*(1-0.01-0.05)*0.95-B7-C7</f>
        <v/>
      </c>
    </row>
    <row r="8">
      <c r="A8" t="inlineStr">
        <is>
          <t>Coconut (coconut-water base)</t>
        </is>
      </c>
      <c r="B8" s="14">
        <f>Inputs!$E$4+Inputs!$E$5+Formulation_Inputs!$G$4+8+2+Inputs!$E$6+Inputs!$E$7+Inputs!$E$8+Inputs!$E$9</f>
        <v/>
      </c>
      <c r="C8" s="14">
        <f>(Inputs!$E$10+Inputs!$E$11)/10000</f>
        <v/>
      </c>
      <c r="D8" s="14">
        <f>70/(1+Inputs!$F$15)*(1-0.10)*(1-0.05)</f>
        <v/>
      </c>
      <c r="E8" s="14">
        <f>D8*(1-0.01-0.05)*0.95-B8-C8</f>
        <v/>
      </c>
      <c r="F8" s="14">
        <f>99/(1+Inputs!$F$15)*(1-0.10)*(1-0.05)</f>
        <v/>
      </c>
      <c r="G8" s="14">
        <f>F8*(1-0.01-0.05)*0.95-B8-C8</f>
        <v/>
      </c>
      <c r="H8" s="14">
        <f>125/(1+Inputs!$F$15)*(1-0.10)*(1-0.05)</f>
        <v/>
      </c>
      <c r="I8" s="14">
        <f>H8*(1-0.01-0.05)*0.95-B8-C8</f>
        <v/>
      </c>
    </row>
    <row r="10">
      <c r="A10" t="inlineStr">
        <is>
          <t>Reading: under favourable assumptions most formulations earn a positive contribution per can at Rs 99-125 but not reliably at Rs 70. Whether reality sits nearer Base or Best is exactly what the quotations and the pilot must establish.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6" customWidth="1" min="3" max="3"/>
    <col width="14" customWidth="1" min="4" max="4"/>
    <col width="12" customWidth="1" min="5" max="5"/>
    <col width="18" customWidth="1" min="6" max="6"/>
    <col width="22" customWidth="1" min="7" max="7"/>
    <col width="22" customWidth="1" min="8" max="8"/>
    <col width="80" customWidth="1" min="9" max="9"/>
  </cols>
  <sheetData>
    <row r="1">
      <c r="A1" s="1" t="inlineStr">
        <is>
          <t>DOES A THREE-FLAVOUR LAUNCH MAKE SENSE? Cash and risk comparison (links to Scenarios)</t>
        </is>
      </c>
    </row>
    <row r="3">
      <c r="A3" s="7" t="inlineStr">
        <is>
          <t>Option</t>
        </is>
      </c>
      <c r="B3" s="7" t="inlineStr">
        <is>
          <t>Units produced</t>
        </is>
      </c>
      <c r="C3" s="7" t="inlineStr">
        <is>
          <t>Production cash</t>
        </is>
      </c>
      <c r="D3" s="7" t="inlineStr">
        <is>
          <t>One-time costs</t>
        </is>
      </c>
      <c r="E3" s="7" t="inlineStr">
        <is>
          <t>Launch</t>
        </is>
      </c>
      <c r="F3" s="7" t="inlineStr">
        <is>
          <t>First-batch cash need</t>
        </is>
      </c>
      <c r="G3" s="7" t="inlineStr">
        <is>
          <t>Units that must sell to recover all costs</t>
        </is>
      </c>
      <c r="H3" s="7" t="inlineStr">
        <is>
          <t>Batch contribution after one-time + launch</t>
        </is>
      </c>
      <c r="I3" s="7" t="inlineStr">
        <is>
          <t>Note</t>
        </is>
      </c>
    </row>
    <row r="4">
      <c r="A4" t="inlineStr">
        <is>
          <t>A. One flavour (Lemon) x 2,000</t>
        </is>
      </c>
      <c r="B4" s="13">
        <f>Scenarios!I6</f>
        <v/>
      </c>
      <c r="C4" s="13">
        <f>Scenarios!I10</f>
        <v/>
      </c>
      <c r="D4" s="13">
        <f>Scenarios!I12</f>
        <v/>
      </c>
      <c r="E4" s="13">
        <f>Inputs!$F$19*1</f>
        <v/>
      </c>
      <c r="F4" s="13">
        <f>Scenarios!I10+Scenarios!I12+Scenarios!I32+E4</f>
        <v/>
      </c>
      <c r="G4" s="13">
        <f>IF(AND(ISNUMBER(Scenarios!I31)),Scenarios!I31,"NOT REACHABLE at base MRP")</f>
        <v/>
      </c>
      <c r="H4" s="13">
        <f>Scenarios!I25-D4-E4</f>
        <v/>
      </c>
      <c r="I4" t="inlineStr">
        <is>
          <t>Lowest cash; tests demand; cheapest fruit system (hypothetical).</t>
        </is>
      </c>
    </row>
    <row r="5">
      <c r="A5" t="inlineStr">
        <is>
          <t>B. One flavour (Blueberry) x 5,000</t>
        </is>
      </c>
      <c r="B5" s="13">
        <f>Scenarios!G6</f>
        <v/>
      </c>
      <c r="C5" s="13">
        <f>Scenarios!G10</f>
        <v/>
      </c>
      <c r="D5" s="13">
        <f>Scenarios!G12</f>
        <v/>
      </c>
      <c r="E5" s="13">
        <f>Inputs!$F$19*1</f>
        <v/>
      </c>
      <c r="F5" s="13">
        <f>Scenarios!G10+Scenarios!G12+Scenarios!G32+E5</f>
        <v/>
      </c>
      <c r="G5" s="13">
        <f>IF(AND(ISNUMBER(Scenarios!G31)),Scenarios!G31,"NOT REACHABLE at base MRP")</f>
        <v/>
      </c>
      <c r="H5" s="13">
        <f>Scenarios!G25-D5-E5</f>
        <v/>
      </c>
      <c r="I5" t="inlineStr">
        <is>
          <t>Founder-preferred flavour; hypothetical blueberry cost dominates.</t>
        </is>
      </c>
    </row>
    <row r="6">
      <c r="A6" t="inlineStr">
        <is>
          <t>C. Three flavours x 2,000 each (MOQ each)</t>
        </is>
      </c>
      <c r="B6" s="13">
        <f>Scenarios!F6+Scenarios!I6+Scenarios!L6</f>
        <v/>
      </c>
      <c r="C6" s="13">
        <f>Scenarios!F10+Scenarios!I10+Scenarios!L10</f>
        <v/>
      </c>
      <c r="D6" s="13">
        <f>Scenarios!F12+Scenarios!I12+Scenarios!L12</f>
        <v/>
      </c>
      <c r="E6" s="13">
        <f>Inputs!$F$19*3</f>
        <v/>
      </c>
      <c r="F6" s="13">
        <f>Scenarios!F10+Scenarios!F12+Scenarios!F32+Scenarios!I10+Scenarios!I12+Scenarios!I32+Scenarios!L10+Scenarios!L12+Scenarios!L32+E6</f>
        <v/>
      </c>
      <c r="G6" s="13">
        <f>IF(AND(ISNUMBER(Scenarios!F31),ISNUMBER(Scenarios!I31),ISNUMBER(Scenarios!L31)),Scenarios!F31+Scenarios!I31+Scenarios!L31,"NOT REACHABLE at base MRP")</f>
        <v/>
      </c>
      <c r="H6" s="13">
        <f>Scenarios!F25+Scenarios!I25+Scenarios!L25-D6-E6</f>
        <v/>
      </c>
      <c r="I6" t="inlineStr">
        <is>
          <t>MOQ applies per flavour (S42 indicates per-SKU batches). Three R&amp;D and shelf-life programmes.</t>
        </is>
      </c>
    </row>
    <row r="7">
      <c r="A7" t="inlineStr">
        <is>
          <t>D. Three flavours x 10,000 each (lower-cost tier)</t>
        </is>
      </c>
      <c r="B7" s="13">
        <f>Scenarios!H6+Scenarios!K6+Scenarios!N6</f>
        <v/>
      </c>
      <c r="C7" s="13">
        <f>Scenarios!H10+Scenarios!K10+Scenarios!N10</f>
        <v/>
      </c>
      <c r="D7" s="13">
        <f>Scenarios!H12+Scenarios!K12+Scenarios!N12</f>
        <v/>
      </c>
      <c r="E7" s="13">
        <f>Inputs!$F$19*3</f>
        <v/>
      </c>
      <c r="F7" s="13">
        <f>Scenarios!H10+Scenarios!H12+Scenarios!H32+Scenarios!K10+Scenarios!K12+Scenarios!K32+Scenarios!N10+Scenarios!N12+Scenarios!N32+E7</f>
        <v/>
      </c>
      <c r="G7" s="13">
        <f>IF(AND(ISNUMBER(Scenarios!H31),ISNUMBER(Scenarios!K31),ISNUMBER(Scenarios!N31)),Scenarios!H31+Scenarios!K31+Scenarios!N31,"NOT REACHABLE at base MRP")</f>
        <v/>
      </c>
      <c r="H7" s="13">
        <f>Scenarios!H25+Scenarios!K25+Scenarios!N25-D7-E7</f>
        <v/>
      </c>
      <c r="I7" t="inlineStr">
        <is>
          <t>Needed to reach the historical low unit-cost volume for EACH flavour: 30,000 cans.</t>
        </is>
      </c>
    </row>
    <row r="8">
      <c r="A8" t="inlineStr">
        <is>
          <t>E. Staged: Lemon 5,000 then add Blueberry only after the go/no-go gate</t>
        </is>
      </c>
      <c r="B8" s="13">
        <f>Scenarios!J6</f>
        <v/>
      </c>
      <c r="C8" s="13">
        <f>Scenarios!J10</f>
        <v/>
      </c>
      <c r="D8" s="13">
        <f>Scenarios!J12</f>
        <v/>
      </c>
      <c r="E8" s="13">
        <f>Inputs!$F$19*1</f>
        <v/>
      </c>
      <c r="F8" s="13">
        <f>Scenarios!J10+Scenarios!J12+Scenarios!J32+E8</f>
        <v/>
      </c>
      <c r="G8" s="13">
        <f>IF(AND(ISNUMBER(Scenarios!J31)),Scenarios!J31,"NOT REACHABLE at base MRP")</f>
        <v/>
      </c>
      <c r="H8" s="13">
        <f>Scenarios!J25-D8-E8</f>
        <v/>
      </c>
      <c r="I8" t="inlineStr">
        <is>
          <t>Second flavour funded from evidence, not upfront.</t>
        </is>
      </c>
    </row>
    <row r="10">
      <c r="A10" t="inlineStr">
        <is>
          <t>Note: launch marketing is scaled by number of flavours for multi-flavour options (assumption). NOT REACHABLE means at least one flavour loses money on every can sold at the current MRP and margins.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SENSITIVITY: contribution per can PRODUCED and batch result, one parameter at a time (others at Base)</t>
        </is>
      </c>
    </row>
    <row r="2">
      <c r="A2" t="inlineStr">
        <is>
          <t>Closed form: contribution per produced can = NR x (1-waste-samples) x sell-through - variable cost - batch fixed/V; NR = MRP/(1+GST) x (1-ret) x (1-dist)</t>
        </is>
      </c>
    </row>
    <row r="4">
      <c r="A4" s="11" t="inlineStr">
        <is>
          <t>Blueberry (real fruit/juice) - 5,000 units</t>
        </is>
      </c>
    </row>
    <row r="5">
      <c r="A5" s="7" t="inlineStr">
        <is>
          <t>Parameter varied</t>
        </is>
      </c>
      <c r="B5" s="7" t="inlineStr">
        <is>
          <t>Value</t>
        </is>
      </c>
      <c r="C5" s="7" t="inlineStr">
        <is>
          <t>Contribution per can produced (Rs)</t>
        </is>
      </c>
      <c r="D5" s="7" t="inlineStr">
        <is>
          <t>Batch result after one-time + launch (Rs)</t>
        </is>
      </c>
    </row>
    <row r="6">
      <c r="A6" t="inlineStr">
        <is>
          <t>MRP Rs</t>
        </is>
      </c>
      <c r="B6" s="18" t="n">
        <v>60</v>
      </c>
      <c r="C6" s="14">
        <f>((60/(1+Inputs!$F$15)*(1-Inputs!$F$17)*(1-Inputs!$F$18))*(1-Inputs!$F$12-Inputs!$F$13)*Inputs!$F$14-Scenarios!G7-Scenarios!G8/5000)</f>
        <v/>
      </c>
      <c r="D6" s="13">
        <f>(((60/(1+Inputs!$F$15)*(1-Inputs!$F$17)*(1-Inputs!$F$18))*(1-Inputs!$F$12-Inputs!$F$13)*Inputs!$F$14-Scenarios!G7-Scenarios!G8/5000)*5000-Scenarios!G12-Inputs!$F$19)</f>
        <v/>
      </c>
    </row>
    <row r="7">
      <c r="A7" t="inlineStr">
        <is>
          <t>MRP Rs</t>
        </is>
      </c>
      <c r="B7" s="18" t="n">
        <v>70</v>
      </c>
      <c r="C7" s="14">
        <f>((70/(1+Inputs!$F$15)*(1-Inputs!$F$17)*(1-Inputs!$F$18))*(1-Inputs!$F$12-Inputs!$F$13)*Inputs!$F$14-Scenarios!G7-Scenarios!G8/5000)</f>
        <v/>
      </c>
      <c r="D7" s="13">
        <f>(((70/(1+Inputs!$F$15)*(1-Inputs!$F$17)*(1-Inputs!$F$18))*(1-Inputs!$F$12-Inputs!$F$13)*Inputs!$F$14-Scenarios!G7-Scenarios!G8/5000)*5000-Scenarios!G12-Inputs!$F$19)</f>
        <v/>
      </c>
    </row>
    <row r="8">
      <c r="A8" t="inlineStr">
        <is>
          <t>MRP Rs</t>
        </is>
      </c>
      <c r="B8" s="18" t="n">
        <v>80</v>
      </c>
      <c r="C8" s="14">
        <f>((80/(1+Inputs!$F$15)*(1-Inputs!$F$17)*(1-Inputs!$F$18))*(1-Inputs!$F$12-Inputs!$F$13)*Inputs!$F$14-Scenarios!G7-Scenarios!G8/5000)</f>
        <v/>
      </c>
      <c r="D8" s="13">
        <f>(((80/(1+Inputs!$F$15)*(1-Inputs!$F$17)*(1-Inputs!$F$18))*(1-Inputs!$F$12-Inputs!$F$13)*Inputs!$F$14-Scenarios!G7-Scenarios!G8/5000)*5000-Scenarios!G12-Inputs!$F$19)</f>
        <v/>
      </c>
    </row>
    <row r="9">
      <c r="A9" t="inlineStr">
        <is>
          <t>MRP Rs</t>
        </is>
      </c>
      <c r="B9" s="18" t="n">
        <v>99</v>
      </c>
      <c r="C9" s="14">
        <f>((99/(1+Inputs!$F$15)*(1-Inputs!$F$17)*(1-Inputs!$F$18))*(1-Inputs!$F$12-Inputs!$F$13)*Inputs!$F$14-Scenarios!G7-Scenarios!G8/5000)</f>
        <v/>
      </c>
      <c r="D9" s="13">
        <f>(((99/(1+Inputs!$F$15)*(1-Inputs!$F$17)*(1-Inputs!$F$18))*(1-Inputs!$F$12-Inputs!$F$13)*Inputs!$F$14-Scenarios!G7-Scenarios!G8/5000)*5000-Scenarios!G12-Inputs!$F$19)</f>
        <v/>
      </c>
    </row>
    <row r="10">
      <c r="A10" t="inlineStr">
        <is>
          <t>MRP Rs</t>
        </is>
      </c>
      <c r="B10" s="18" t="n">
        <v>125</v>
      </c>
      <c r="C10" s="14">
        <f>((125/(1+Inputs!$F$15)*(1-Inputs!$F$17)*(1-Inputs!$F$18))*(1-Inputs!$F$12-Inputs!$F$13)*Inputs!$F$14-Scenarios!G7-Scenarios!G8/5000)</f>
        <v/>
      </c>
      <c r="D10" s="13">
        <f>(((125/(1+Inputs!$F$15)*(1-Inputs!$F$17)*(1-Inputs!$F$18))*(1-Inputs!$F$12-Inputs!$F$13)*Inputs!$F$14-Scenarios!G7-Scenarios!G8/5000)*5000-Scenarios!G12-Inputs!$F$19)</f>
        <v/>
      </c>
    </row>
    <row r="11">
      <c r="A11" t="inlineStr">
        <is>
          <t>Retailer margin</t>
        </is>
      </c>
      <c r="B11" s="16" t="n">
        <v>0.1</v>
      </c>
      <c r="C11" s="14">
        <f>((Inputs!$F$16/(1+Inputs!$F$15)*(1-0.1)*(1-Inputs!$F$18))*(1-Inputs!$F$12-Inputs!$F$13)*Inputs!$F$14-Scenarios!G7-Scenarios!G8/5000)</f>
        <v/>
      </c>
      <c r="D11" s="13">
        <f>(((Inputs!$F$16/(1+Inputs!$F$15)*(1-0.1)*(1-Inputs!$F$18))*(1-Inputs!$F$12-Inputs!$F$13)*Inputs!$F$14-Scenarios!G7-Scenarios!G8/5000)*5000-Scenarios!G12-Inputs!$F$19)</f>
        <v/>
      </c>
    </row>
    <row r="12">
      <c r="A12" t="inlineStr">
        <is>
          <t>Retailer margin</t>
        </is>
      </c>
      <c r="B12" s="16" t="n">
        <v>0.2</v>
      </c>
      <c r="C12" s="14">
        <f>((Inputs!$F$16/(1+Inputs!$F$15)*(1-0.2)*(1-Inputs!$F$18))*(1-Inputs!$F$12-Inputs!$F$13)*Inputs!$F$14-Scenarios!G7-Scenarios!G8/5000)</f>
        <v/>
      </c>
      <c r="D12" s="13">
        <f>(((Inputs!$F$16/(1+Inputs!$F$15)*(1-0.2)*(1-Inputs!$F$18))*(1-Inputs!$F$12-Inputs!$F$13)*Inputs!$F$14-Scenarios!G7-Scenarios!G8/5000)*5000-Scenarios!G12-Inputs!$F$19)</f>
        <v/>
      </c>
    </row>
    <row r="13">
      <c r="A13" t="inlineStr">
        <is>
          <t>Retailer margin</t>
        </is>
      </c>
      <c r="B13" s="16" t="n">
        <v>0.3</v>
      </c>
      <c r="C13" s="14">
        <f>((Inputs!$F$16/(1+Inputs!$F$15)*(1-0.3)*(1-Inputs!$F$18))*(1-Inputs!$F$12-Inputs!$F$13)*Inputs!$F$14-Scenarios!G7-Scenarios!G8/5000)</f>
        <v/>
      </c>
      <c r="D13" s="13">
        <f>(((Inputs!$F$16/(1+Inputs!$F$15)*(1-0.3)*(1-Inputs!$F$18))*(1-Inputs!$F$12-Inputs!$F$13)*Inputs!$F$14-Scenarios!G7-Scenarios!G8/5000)*5000-Scenarios!G12-Inputs!$F$19)</f>
        <v/>
      </c>
    </row>
    <row r="14">
      <c r="A14" t="inlineStr">
        <is>
          <t>Retailer margin</t>
        </is>
      </c>
      <c r="B14" s="16" t="n">
        <v>0.35</v>
      </c>
      <c r="C14" s="14">
        <f>((Inputs!$F$16/(1+Inputs!$F$15)*(1-0.35)*(1-Inputs!$F$18))*(1-Inputs!$F$12-Inputs!$F$13)*Inputs!$F$14-Scenarios!G7-Scenarios!G8/5000)</f>
        <v/>
      </c>
      <c r="D14" s="13">
        <f>(((Inputs!$F$16/(1+Inputs!$F$15)*(1-0.35)*(1-Inputs!$F$18))*(1-Inputs!$F$12-Inputs!$F$13)*Inputs!$F$14-Scenarios!G7-Scenarios!G8/5000)*5000-Scenarios!G12-Inputs!$F$19)</f>
        <v/>
      </c>
    </row>
    <row r="15">
      <c r="A15" t="inlineStr">
        <is>
          <t>Sell-through</t>
        </is>
      </c>
      <c r="B15" s="16" t="n">
        <v>0.4</v>
      </c>
      <c r="C15" s="14">
        <f>((Inputs!$F$16/(1+Inputs!$F$15)*(1-Inputs!$F$17)*(1-Inputs!$F$18))*(1-Inputs!$F$12-Inputs!$F$13)*0.4-Scenarios!G7-Scenarios!G8/5000)</f>
        <v/>
      </c>
      <c r="D15" s="13">
        <f>(((Inputs!$F$16/(1+Inputs!$F$15)*(1-Inputs!$F$17)*(1-Inputs!$F$18))*(1-Inputs!$F$12-Inputs!$F$13)*0.4-Scenarios!G7-Scenarios!G8/5000)*5000-Scenarios!G12-Inputs!$F$19)</f>
        <v/>
      </c>
    </row>
    <row r="16">
      <c r="A16" t="inlineStr">
        <is>
          <t>Sell-through</t>
        </is>
      </c>
      <c r="B16" s="16" t="n">
        <v>0.6</v>
      </c>
      <c r="C16" s="14">
        <f>((Inputs!$F$16/(1+Inputs!$F$15)*(1-Inputs!$F$17)*(1-Inputs!$F$18))*(1-Inputs!$F$12-Inputs!$F$13)*0.6-Scenarios!G7-Scenarios!G8/5000)</f>
        <v/>
      </c>
      <c r="D16" s="13">
        <f>(((Inputs!$F$16/(1+Inputs!$F$15)*(1-Inputs!$F$17)*(1-Inputs!$F$18))*(1-Inputs!$F$12-Inputs!$F$13)*0.6-Scenarios!G7-Scenarios!G8/5000)*5000-Scenarios!G12-Inputs!$F$19)</f>
        <v/>
      </c>
    </row>
    <row r="17">
      <c r="A17" t="inlineStr">
        <is>
          <t>Sell-through</t>
        </is>
      </c>
      <c r="B17" s="16" t="n">
        <v>0.75</v>
      </c>
      <c r="C17" s="14">
        <f>((Inputs!$F$16/(1+Inputs!$F$15)*(1-Inputs!$F$17)*(1-Inputs!$F$18))*(1-Inputs!$F$12-Inputs!$F$13)*0.75-Scenarios!G7-Scenarios!G8/5000)</f>
        <v/>
      </c>
      <c r="D17" s="13">
        <f>(((Inputs!$F$16/(1+Inputs!$F$15)*(1-Inputs!$F$17)*(1-Inputs!$F$18))*(1-Inputs!$F$12-Inputs!$F$13)*0.75-Scenarios!G7-Scenarios!G8/5000)*5000-Scenarios!G12-Inputs!$F$19)</f>
        <v/>
      </c>
    </row>
    <row r="18">
      <c r="A18" t="inlineStr">
        <is>
          <t>Sell-through</t>
        </is>
      </c>
      <c r="B18" s="16" t="n">
        <v>0.95</v>
      </c>
      <c r="C18" s="14">
        <f>((Inputs!$F$16/(1+Inputs!$F$15)*(1-Inputs!$F$17)*(1-Inputs!$F$18))*(1-Inputs!$F$12-Inputs!$F$13)*0.95-Scenarios!G7-Scenarios!G8/5000)</f>
        <v/>
      </c>
      <c r="D18" s="13">
        <f>(((Inputs!$F$16/(1+Inputs!$F$15)*(1-Inputs!$F$17)*(1-Inputs!$F$18))*(1-Inputs!$F$12-Inputs!$F$13)*0.95-Scenarios!G7-Scenarios!G8/5000)*5000-Scenarios!G12-Inputs!$F$19)</f>
        <v/>
      </c>
    </row>
    <row r="19">
      <c r="A19" t="inlineStr">
        <is>
          <t>Sampling %</t>
        </is>
      </c>
      <c r="B19" s="16" t="n">
        <v>0.05</v>
      </c>
      <c r="C19" s="14">
        <f>((Inputs!$F$16/(1+Inputs!$F$15)*(1-Inputs!$F$17)*(1-Inputs!$F$18))*(1-Inputs!$F$12-0.05)*Inputs!$F$14-Scenarios!G7-Scenarios!G8/5000)</f>
        <v/>
      </c>
      <c r="D19" s="13">
        <f>(((Inputs!$F$16/(1+Inputs!$F$15)*(1-Inputs!$F$17)*(1-Inputs!$F$18))*(1-Inputs!$F$12-0.05)*Inputs!$F$14-Scenarios!G7-Scenarios!G8/5000)*5000-Scenarios!G12-Inputs!$F$19)</f>
        <v/>
      </c>
    </row>
    <row r="20">
      <c r="A20" t="inlineStr">
        <is>
          <t>Sampling %</t>
        </is>
      </c>
      <c r="B20" s="16" t="n">
        <v>0.1</v>
      </c>
      <c r="C20" s="14">
        <f>((Inputs!$F$16/(1+Inputs!$F$15)*(1-Inputs!$F$17)*(1-Inputs!$F$18))*(1-Inputs!$F$12-0.1)*Inputs!$F$14-Scenarios!G7-Scenarios!G8/5000)</f>
        <v/>
      </c>
      <c r="D20" s="13">
        <f>(((Inputs!$F$16/(1+Inputs!$F$15)*(1-Inputs!$F$17)*(1-Inputs!$F$18))*(1-Inputs!$F$12-0.1)*Inputs!$F$14-Scenarios!G7-Scenarios!G8/5000)*5000-Scenarios!G12-Inputs!$F$19)</f>
        <v/>
      </c>
    </row>
    <row r="21">
      <c r="A21" t="inlineStr">
        <is>
          <t>Sampling %</t>
        </is>
      </c>
      <c r="B21" s="16" t="n">
        <v>0.2</v>
      </c>
      <c r="C21" s="14">
        <f>((Inputs!$F$16/(1+Inputs!$F$15)*(1-Inputs!$F$17)*(1-Inputs!$F$18))*(1-Inputs!$F$12-0.2)*Inputs!$F$14-Scenarios!G7-Scenarios!G8/5000)</f>
        <v/>
      </c>
      <c r="D21" s="13">
        <f>(((Inputs!$F$16/(1+Inputs!$F$15)*(1-Inputs!$F$17)*(1-Inputs!$F$18))*(1-Inputs!$F$12-0.2)*Inputs!$F$14-Scenarios!G7-Scenarios!G8/5000)*5000-Scenarios!G12-Inputs!$F$19)</f>
        <v/>
      </c>
    </row>
    <row r="22">
      <c r="A22" t="inlineStr">
        <is>
          <t>Fruit adder Rs/can (HYPOTHETICAL)</t>
        </is>
      </c>
      <c r="B22" s="18" t="n">
        <v>5</v>
      </c>
      <c r="C22" s="14">
        <f>((Inputs!$F$16/(1+Inputs!$F$15)*(1-Inputs!$F$17)*(1-Inputs!$F$18))*(1-Inputs!$F$12-Inputs!$F$13)*Inputs!$F$14-(Scenarios!G7-Formulation_Inputs!$E$5+5)-Scenarios!G8/5000)</f>
        <v/>
      </c>
      <c r="D22" s="13">
        <f>(((Inputs!$F$16/(1+Inputs!$F$15)*(1-Inputs!$F$17)*(1-Inputs!$F$18))*(1-Inputs!$F$12-Inputs!$F$13)*Inputs!$F$14-(Scenarios!G7-Formulation_Inputs!$E$5+5)-Scenarios!G8/5000)*5000-Scenarios!G12-Inputs!$F$19)</f>
        <v/>
      </c>
    </row>
    <row r="23">
      <c r="A23" t="inlineStr">
        <is>
          <t>Fruit adder Rs/can (HYPOTHETICAL)</t>
        </is>
      </c>
      <c r="B23" s="18" t="n">
        <v>12</v>
      </c>
      <c r="C23" s="14">
        <f>((Inputs!$F$16/(1+Inputs!$F$15)*(1-Inputs!$F$17)*(1-Inputs!$F$18))*(1-Inputs!$F$12-Inputs!$F$13)*Inputs!$F$14-(Scenarios!G7-Formulation_Inputs!$E$5+12)-Scenarios!G8/5000)</f>
        <v/>
      </c>
      <c r="D23" s="13">
        <f>(((Inputs!$F$16/(1+Inputs!$F$15)*(1-Inputs!$F$17)*(1-Inputs!$F$18))*(1-Inputs!$F$12-Inputs!$F$13)*Inputs!$F$14-(Scenarios!G7-Formulation_Inputs!$E$5+12)-Scenarios!G8/5000)*5000-Scenarios!G12-Inputs!$F$19)</f>
        <v/>
      </c>
    </row>
    <row r="24">
      <c r="A24" t="inlineStr">
        <is>
          <t>Fruit adder Rs/can (HYPOTHETICAL)</t>
        </is>
      </c>
      <c r="B24" s="18" t="n">
        <v>25</v>
      </c>
      <c r="C24" s="14">
        <f>((Inputs!$F$16/(1+Inputs!$F$15)*(1-Inputs!$F$17)*(1-Inputs!$F$18))*(1-Inputs!$F$12-Inputs!$F$13)*Inputs!$F$14-(Scenarios!G7-Formulation_Inputs!$E$5+25)-Scenarios!G8/5000)</f>
        <v/>
      </c>
      <c r="D24" s="13">
        <f>(((Inputs!$F$16/(1+Inputs!$F$15)*(1-Inputs!$F$17)*(1-Inputs!$F$18))*(1-Inputs!$F$12-Inputs!$F$13)*Inputs!$F$14-(Scenarios!G7-Formulation_Inputs!$E$5+25)-Scenarios!G8/5000)*5000-Scenarios!G12-Inputs!$F$19)</f>
        <v/>
      </c>
    </row>
    <row r="26">
      <c r="A26" s="11" t="inlineStr">
        <is>
          <t>Lemon (juice/natural flavour) - 5,000 units</t>
        </is>
      </c>
    </row>
    <row r="27">
      <c r="A27" s="7" t="inlineStr">
        <is>
          <t>Parameter varied</t>
        </is>
      </c>
      <c r="B27" s="7" t="inlineStr">
        <is>
          <t>Value</t>
        </is>
      </c>
      <c r="C27" s="7" t="inlineStr">
        <is>
          <t>Contribution per can produced (Rs)</t>
        </is>
      </c>
      <c r="D27" s="7" t="inlineStr">
        <is>
          <t>Batch result after one-time + launch (Rs)</t>
        </is>
      </c>
    </row>
    <row r="28">
      <c r="A28" t="inlineStr">
        <is>
          <t>MRP Rs</t>
        </is>
      </c>
      <c r="B28" s="18" t="n">
        <v>60</v>
      </c>
      <c r="C28" s="14">
        <f>((60/(1+Inputs!$F$15)*(1-Inputs!$F$17)*(1-Inputs!$F$18))*(1-Inputs!$F$12-Inputs!$F$13)*Inputs!$F$14-Scenarios!J7-Scenarios!J8/5000)</f>
        <v/>
      </c>
      <c r="D28" s="13">
        <f>(((60/(1+Inputs!$F$15)*(1-Inputs!$F$17)*(1-Inputs!$F$18))*(1-Inputs!$F$12-Inputs!$F$13)*Inputs!$F$14-Scenarios!J7-Scenarios!J8/5000)*5000-Scenarios!J12-Inputs!$F$19)</f>
        <v/>
      </c>
    </row>
    <row r="29">
      <c r="A29" t="inlineStr">
        <is>
          <t>MRP Rs</t>
        </is>
      </c>
      <c r="B29" s="18" t="n">
        <v>70</v>
      </c>
      <c r="C29" s="14">
        <f>((70/(1+Inputs!$F$15)*(1-Inputs!$F$17)*(1-Inputs!$F$18))*(1-Inputs!$F$12-Inputs!$F$13)*Inputs!$F$14-Scenarios!J7-Scenarios!J8/5000)</f>
        <v/>
      </c>
      <c r="D29" s="13">
        <f>(((70/(1+Inputs!$F$15)*(1-Inputs!$F$17)*(1-Inputs!$F$18))*(1-Inputs!$F$12-Inputs!$F$13)*Inputs!$F$14-Scenarios!J7-Scenarios!J8/5000)*5000-Scenarios!J12-Inputs!$F$19)</f>
        <v/>
      </c>
    </row>
    <row r="30">
      <c r="A30" t="inlineStr">
        <is>
          <t>MRP Rs</t>
        </is>
      </c>
      <c r="B30" s="18" t="n">
        <v>80</v>
      </c>
      <c r="C30" s="14">
        <f>((80/(1+Inputs!$F$15)*(1-Inputs!$F$17)*(1-Inputs!$F$18))*(1-Inputs!$F$12-Inputs!$F$13)*Inputs!$F$14-Scenarios!J7-Scenarios!J8/5000)</f>
        <v/>
      </c>
      <c r="D30" s="13">
        <f>(((80/(1+Inputs!$F$15)*(1-Inputs!$F$17)*(1-Inputs!$F$18))*(1-Inputs!$F$12-Inputs!$F$13)*Inputs!$F$14-Scenarios!J7-Scenarios!J8/5000)*5000-Scenarios!J12-Inputs!$F$19)</f>
        <v/>
      </c>
    </row>
    <row r="31">
      <c r="A31" t="inlineStr">
        <is>
          <t>MRP Rs</t>
        </is>
      </c>
      <c r="B31" s="18" t="n">
        <v>99</v>
      </c>
      <c r="C31" s="14">
        <f>((99/(1+Inputs!$F$15)*(1-Inputs!$F$17)*(1-Inputs!$F$18))*(1-Inputs!$F$12-Inputs!$F$13)*Inputs!$F$14-Scenarios!J7-Scenarios!J8/5000)</f>
        <v/>
      </c>
      <c r="D31" s="13">
        <f>(((99/(1+Inputs!$F$15)*(1-Inputs!$F$17)*(1-Inputs!$F$18))*(1-Inputs!$F$12-Inputs!$F$13)*Inputs!$F$14-Scenarios!J7-Scenarios!J8/5000)*5000-Scenarios!J12-Inputs!$F$19)</f>
        <v/>
      </c>
    </row>
    <row r="32">
      <c r="A32" t="inlineStr">
        <is>
          <t>MRP Rs</t>
        </is>
      </c>
      <c r="B32" s="18" t="n">
        <v>125</v>
      </c>
      <c r="C32" s="14">
        <f>((125/(1+Inputs!$F$15)*(1-Inputs!$F$17)*(1-Inputs!$F$18))*(1-Inputs!$F$12-Inputs!$F$13)*Inputs!$F$14-Scenarios!J7-Scenarios!J8/5000)</f>
        <v/>
      </c>
      <c r="D32" s="13">
        <f>(((125/(1+Inputs!$F$15)*(1-Inputs!$F$17)*(1-Inputs!$F$18))*(1-Inputs!$F$12-Inputs!$F$13)*Inputs!$F$14-Scenarios!J7-Scenarios!J8/5000)*5000-Scenarios!J12-Inputs!$F$19)</f>
        <v/>
      </c>
    </row>
    <row r="33">
      <c r="A33" t="inlineStr">
        <is>
          <t>Retailer margin</t>
        </is>
      </c>
      <c r="B33" s="16" t="n">
        <v>0.1</v>
      </c>
      <c r="C33" s="14">
        <f>((Inputs!$F$16/(1+Inputs!$F$15)*(1-0.1)*(1-Inputs!$F$18))*(1-Inputs!$F$12-Inputs!$F$13)*Inputs!$F$14-Scenarios!J7-Scenarios!J8/5000)</f>
        <v/>
      </c>
      <c r="D33" s="13">
        <f>(((Inputs!$F$16/(1+Inputs!$F$15)*(1-0.1)*(1-Inputs!$F$18))*(1-Inputs!$F$12-Inputs!$F$13)*Inputs!$F$14-Scenarios!J7-Scenarios!J8/5000)*5000-Scenarios!J12-Inputs!$F$19)</f>
        <v/>
      </c>
    </row>
    <row r="34">
      <c r="A34" t="inlineStr">
        <is>
          <t>Retailer margin</t>
        </is>
      </c>
      <c r="B34" s="16" t="n">
        <v>0.2</v>
      </c>
      <c r="C34" s="14">
        <f>((Inputs!$F$16/(1+Inputs!$F$15)*(1-0.2)*(1-Inputs!$F$18))*(1-Inputs!$F$12-Inputs!$F$13)*Inputs!$F$14-Scenarios!J7-Scenarios!J8/5000)</f>
        <v/>
      </c>
      <c r="D34" s="13">
        <f>(((Inputs!$F$16/(1+Inputs!$F$15)*(1-0.2)*(1-Inputs!$F$18))*(1-Inputs!$F$12-Inputs!$F$13)*Inputs!$F$14-Scenarios!J7-Scenarios!J8/5000)*5000-Scenarios!J12-Inputs!$F$19)</f>
        <v/>
      </c>
    </row>
    <row r="35">
      <c r="A35" t="inlineStr">
        <is>
          <t>Retailer margin</t>
        </is>
      </c>
      <c r="B35" s="16" t="n">
        <v>0.3</v>
      </c>
      <c r="C35" s="14">
        <f>((Inputs!$F$16/(1+Inputs!$F$15)*(1-0.3)*(1-Inputs!$F$18))*(1-Inputs!$F$12-Inputs!$F$13)*Inputs!$F$14-Scenarios!J7-Scenarios!J8/5000)</f>
        <v/>
      </c>
      <c r="D35" s="13">
        <f>(((Inputs!$F$16/(1+Inputs!$F$15)*(1-0.3)*(1-Inputs!$F$18))*(1-Inputs!$F$12-Inputs!$F$13)*Inputs!$F$14-Scenarios!J7-Scenarios!J8/5000)*5000-Scenarios!J12-Inputs!$F$19)</f>
        <v/>
      </c>
    </row>
    <row r="36">
      <c r="A36" t="inlineStr">
        <is>
          <t>Retailer margin</t>
        </is>
      </c>
      <c r="B36" s="16" t="n">
        <v>0.35</v>
      </c>
      <c r="C36" s="14">
        <f>((Inputs!$F$16/(1+Inputs!$F$15)*(1-0.35)*(1-Inputs!$F$18))*(1-Inputs!$F$12-Inputs!$F$13)*Inputs!$F$14-Scenarios!J7-Scenarios!J8/5000)</f>
        <v/>
      </c>
      <c r="D36" s="13">
        <f>(((Inputs!$F$16/(1+Inputs!$F$15)*(1-0.35)*(1-Inputs!$F$18))*(1-Inputs!$F$12-Inputs!$F$13)*Inputs!$F$14-Scenarios!J7-Scenarios!J8/5000)*5000-Scenarios!J12-Inputs!$F$19)</f>
        <v/>
      </c>
    </row>
    <row r="37">
      <c r="A37" t="inlineStr">
        <is>
          <t>Sell-through</t>
        </is>
      </c>
      <c r="B37" s="16" t="n">
        <v>0.4</v>
      </c>
      <c r="C37" s="14">
        <f>((Inputs!$F$16/(1+Inputs!$F$15)*(1-Inputs!$F$17)*(1-Inputs!$F$18))*(1-Inputs!$F$12-Inputs!$F$13)*0.4-Scenarios!J7-Scenarios!J8/5000)</f>
        <v/>
      </c>
      <c r="D37" s="13">
        <f>(((Inputs!$F$16/(1+Inputs!$F$15)*(1-Inputs!$F$17)*(1-Inputs!$F$18))*(1-Inputs!$F$12-Inputs!$F$13)*0.4-Scenarios!J7-Scenarios!J8/5000)*5000-Scenarios!J12-Inputs!$F$19)</f>
        <v/>
      </c>
    </row>
    <row r="38">
      <c r="A38" t="inlineStr">
        <is>
          <t>Sell-through</t>
        </is>
      </c>
      <c r="B38" s="16" t="n">
        <v>0.6</v>
      </c>
      <c r="C38" s="14">
        <f>((Inputs!$F$16/(1+Inputs!$F$15)*(1-Inputs!$F$17)*(1-Inputs!$F$18))*(1-Inputs!$F$12-Inputs!$F$13)*0.6-Scenarios!J7-Scenarios!J8/5000)</f>
        <v/>
      </c>
      <c r="D38" s="13">
        <f>(((Inputs!$F$16/(1+Inputs!$F$15)*(1-Inputs!$F$17)*(1-Inputs!$F$18))*(1-Inputs!$F$12-Inputs!$F$13)*0.6-Scenarios!J7-Scenarios!J8/5000)*5000-Scenarios!J12-Inputs!$F$19)</f>
        <v/>
      </c>
    </row>
    <row r="39">
      <c r="A39" t="inlineStr">
        <is>
          <t>Sell-through</t>
        </is>
      </c>
      <c r="B39" s="16" t="n">
        <v>0.75</v>
      </c>
      <c r="C39" s="14">
        <f>((Inputs!$F$16/(1+Inputs!$F$15)*(1-Inputs!$F$17)*(1-Inputs!$F$18))*(1-Inputs!$F$12-Inputs!$F$13)*0.75-Scenarios!J7-Scenarios!J8/5000)</f>
        <v/>
      </c>
      <c r="D39" s="13">
        <f>(((Inputs!$F$16/(1+Inputs!$F$15)*(1-Inputs!$F$17)*(1-Inputs!$F$18))*(1-Inputs!$F$12-Inputs!$F$13)*0.75-Scenarios!J7-Scenarios!J8/5000)*5000-Scenarios!J12-Inputs!$F$19)</f>
        <v/>
      </c>
    </row>
    <row r="40">
      <c r="A40" t="inlineStr">
        <is>
          <t>Sell-through</t>
        </is>
      </c>
      <c r="B40" s="16" t="n">
        <v>0.95</v>
      </c>
      <c r="C40" s="14">
        <f>((Inputs!$F$16/(1+Inputs!$F$15)*(1-Inputs!$F$17)*(1-Inputs!$F$18))*(1-Inputs!$F$12-Inputs!$F$13)*0.95-Scenarios!J7-Scenarios!J8/5000)</f>
        <v/>
      </c>
      <c r="D40" s="13">
        <f>(((Inputs!$F$16/(1+Inputs!$F$15)*(1-Inputs!$F$17)*(1-Inputs!$F$18))*(1-Inputs!$F$12-Inputs!$F$13)*0.95-Scenarios!J7-Scenarios!J8/5000)*5000-Scenarios!J12-Inputs!$F$19)</f>
        <v/>
      </c>
    </row>
    <row r="41">
      <c r="A41" t="inlineStr">
        <is>
          <t>Sampling %</t>
        </is>
      </c>
      <c r="B41" s="16" t="n">
        <v>0.05</v>
      </c>
      <c r="C41" s="14">
        <f>((Inputs!$F$16/(1+Inputs!$F$15)*(1-Inputs!$F$17)*(1-Inputs!$F$18))*(1-Inputs!$F$12-0.05)*Inputs!$F$14-Scenarios!J7-Scenarios!J8/5000)</f>
        <v/>
      </c>
      <c r="D41" s="13">
        <f>(((Inputs!$F$16/(1+Inputs!$F$15)*(1-Inputs!$F$17)*(1-Inputs!$F$18))*(1-Inputs!$F$12-0.05)*Inputs!$F$14-Scenarios!J7-Scenarios!J8/5000)*5000-Scenarios!J12-Inputs!$F$19)</f>
        <v/>
      </c>
    </row>
    <row r="42">
      <c r="A42" t="inlineStr">
        <is>
          <t>Sampling %</t>
        </is>
      </c>
      <c r="B42" s="16" t="n">
        <v>0.1</v>
      </c>
      <c r="C42" s="14">
        <f>((Inputs!$F$16/(1+Inputs!$F$15)*(1-Inputs!$F$17)*(1-Inputs!$F$18))*(1-Inputs!$F$12-0.1)*Inputs!$F$14-Scenarios!J7-Scenarios!J8/5000)</f>
        <v/>
      </c>
      <c r="D42" s="13">
        <f>(((Inputs!$F$16/(1+Inputs!$F$15)*(1-Inputs!$F$17)*(1-Inputs!$F$18))*(1-Inputs!$F$12-0.1)*Inputs!$F$14-Scenarios!J7-Scenarios!J8/5000)*5000-Scenarios!J12-Inputs!$F$19)</f>
        <v/>
      </c>
    </row>
    <row r="43">
      <c r="A43" t="inlineStr">
        <is>
          <t>Sampling %</t>
        </is>
      </c>
      <c r="B43" s="16" t="n">
        <v>0.2</v>
      </c>
      <c r="C43" s="14">
        <f>((Inputs!$F$16/(1+Inputs!$F$15)*(1-Inputs!$F$17)*(1-Inputs!$F$18))*(1-Inputs!$F$12-0.2)*Inputs!$F$14-Scenarios!J7-Scenarios!J8/5000)</f>
        <v/>
      </c>
      <c r="D43" s="13">
        <f>(((Inputs!$F$16/(1+Inputs!$F$15)*(1-Inputs!$F$17)*(1-Inputs!$F$18))*(1-Inputs!$F$12-0.2)*Inputs!$F$14-Scenarios!J7-Scenarios!J8/5000)*5000-Scenarios!J12-Inputs!$F$19)</f>
        <v/>
      </c>
    </row>
    <row r="44">
      <c r="A44" t="inlineStr">
        <is>
          <t>Fruit adder Rs/can (HYPOTHETICAL)</t>
        </is>
      </c>
      <c r="B44" s="18" t="n">
        <v>1</v>
      </c>
      <c r="C44" s="14">
        <f>((Inputs!$F$16/(1+Inputs!$F$15)*(1-Inputs!$F$17)*(1-Inputs!$F$18))*(1-Inputs!$F$12-Inputs!$F$13)*Inputs!$F$14-(Scenarios!J7-Formulation_Inputs!$F$5+1)-Scenarios!J8/5000)</f>
        <v/>
      </c>
      <c r="D44" s="13">
        <f>(((Inputs!$F$16/(1+Inputs!$F$15)*(1-Inputs!$F$17)*(1-Inputs!$F$18))*(1-Inputs!$F$12-Inputs!$F$13)*Inputs!$F$14-(Scenarios!J7-Formulation_Inputs!$F$5+1)-Scenarios!J8/5000)*5000-Scenarios!J12-Inputs!$F$19)</f>
        <v/>
      </c>
    </row>
    <row r="45">
      <c r="A45" t="inlineStr">
        <is>
          <t>Fruit adder Rs/can (HYPOTHETICAL)</t>
        </is>
      </c>
      <c r="B45" s="18" t="n">
        <v>2</v>
      </c>
      <c r="C45" s="14">
        <f>((Inputs!$F$16/(1+Inputs!$F$15)*(1-Inputs!$F$17)*(1-Inputs!$F$18))*(1-Inputs!$F$12-Inputs!$F$13)*Inputs!$F$14-(Scenarios!J7-Formulation_Inputs!$F$5+2)-Scenarios!J8/5000)</f>
        <v/>
      </c>
      <c r="D45" s="13">
        <f>(((Inputs!$F$16/(1+Inputs!$F$15)*(1-Inputs!$F$17)*(1-Inputs!$F$18))*(1-Inputs!$F$12-Inputs!$F$13)*Inputs!$F$14-(Scenarios!J7-Formulation_Inputs!$F$5+2)-Scenarios!J8/5000)*5000-Scenarios!J12-Inputs!$F$19)</f>
        <v/>
      </c>
    </row>
    <row r="46">
      <c r="A46" t="inlineStr">
        <is>
          <t>Fruit adder Rs/can (HYPOTHETICAL)</t>
        </is>
      </c>
      <c r="B46" s="18" t="n">
        <v>5</v>
      </c>
      <c r="C46" s="14">
        <f>((Inputs!$F$16/(1+Inputs!$F$15)*(1-Inputs!$F$17)*(1-Inputs!$F$18))*(1-Inputs!$F$12-Inputs!$F$13)*Inputs!$F$14-(Scenarios!J7-Formulation_Inputs!$F$5+5)-Scenarios!J8/5000)</f>
        <v/>
      </c>
      <c r="D46" s="13">
        <f>(((Inputs!$F$16/(1+Inputs!$F$15)*(1-Inputs!$F$17)*(1-Inputs!$F$18))*(1-Inputs!$F$12-Inputs!$F$13)*Inputs!$F$14-(Scenarios!J7-Formulation_Inputs!$F$5+5)-Scenarios!J8/5000)*5000-Scenarios!J12-Inputs!$F$19)</f>
        <v/>
      </c>
    </row>
    <row r="48">
      <c r="A48" s="11" t="inlineStr">
        <is>
          <t>Coconut (coconut-water base) - 5,000 units</t>
        </is>
      </c>
    </row>
    <row r="49">
      <c r="A49" s="7" t="inlineStr">
        <is>
          <t>Parameter varied</t>
        </is>
      </c>
      <c r="B49" s="7" t="inlineStr">
        <is>
          <t>Value</t>
        </is>
      </c>
      <c r="C49" s="7" t="inlineStr">
        <is>
          <t>Contribution per can produced (Rs)</t>
        </is>
      </c>
      <c r="D49" s="7" t="inlineStr">
        <is>
          <t>Batch result after one-time + launch (Rs)</t>
        </is>
      </c>
    </row>
    <row r="50">
      <c r="A50" t="inlineStr">
        <is>
          <t>MRP Rs</t>
        </is>
      </c>
      <c r="B50" s="18" t="n">
        <v>60</v>
      </c>
      <c r="C50" s="14">
        <f>((60/(1+Inputs!$F$15)*(1-Inputs!$F$17)*(1-Inputs!$F$18))*(1-Inputs!$F$12-Inputs!$F$13)*Inputs!$F$14-Scenarios!M7-Scenarios!M8/5000)</f>
        <v/>
      </c>
      <c r="D50" s="13">
        <f>(((60/(1+Inputs!$F$15)*(1-Inputs!$F$17)*(1-Inputs!$F$18))*(1-Inputs!$F$12-Inputs!$F$13)*Inputs!$F$14-Scenarios!M7-Scenarios!M8/5000)*5000-Scenarios!M12-Inputs!$F$19)</f>
        <v/>
      </c>
    </row>
    <row r="51">
      <c r="A51" t="inlineStr">
        <is>
          <t>MRP Rs</t>
        </is>
      </c>
      <c r="B51" s="18" t="n">
        <v>70</v>
      </c>
      <c r="C51" s="14">
        <f>((70/(1+Inputs!$F$15)*(1-Inputs!$F$17)*(1-Inputs!$F$18))*(1-Inputs!$F$12-Inputs!$F$13)*Inputs!$F$14-Scenarios!M7-Scenarios!M8/5000)</f>
        <v/>
      </c>
      <c r="D51" s="13">
        <f>(((70/(1+Inputs!$F$15)*(1-Inputs!$F$17)*(1-Inputs!$F$18))*(1-Inputs!$F$12-Inputs!$F$13)*Inputs!$F$14-Scenarios!M7-Scenarios!M8/5000)*5000-Scenarios!M12-Inputs!$F$19)</f>
        <v/>
      </c>
    </row>
    <row r="52">
      <c r="A52" t="inlineStr">
        <is>
          <t>MRP Rs</t>
        </is>
      </c>
      <c r="B52" s="18" t="n">
        <v>80</v>
      </c>
      <c r="C52" s="14">
        <f>((80/(1+Inputs!$F$15)*(1-Inputs!$F$17)*(1-Inputs!$F$18))*(1-Inputs!$F$12-Inputs!$F$13)*Inputs!$F$14-Scenarios!M7-Scenarios!M8/5000)</f>
        <v/>
      </c>
      <c r="D52" s="13">
        <f>(((80/(1+Inputs!$F$15)*(1-Inputs!$F$17)*(1-Inputs!$F$18))*(1-Inputs!$F$12-Inputs!$F$13)*Inputs!$F$14-Scenarios!M7-Scenarios!M8/5000)*5000-Scenarios!M12-Inputs!$F$19)</f>
        <v/>
      </c>
    </row>
    <row r="53">
      <c r="A53" t="inlineStr">
        <is>
          <t>MRP Rs</t>
        </is>
      </c>
      <c r="B53" s="18" t="n">
        <v>99</v>
      </c>
      <c r="C53" s="14">
        <f>((99/(1+Inputs!$F$15)*(1-Inputs!$F$17)*(1-Inputs!$F$18))*(1-Inputs!$F$12-Inputs!$F$13)*Inputs!$F$14-Scenarios!M7-Scenarios!M8/5000)</f>
        <v/>
      </c>
      <c r="D53" s="13">
        <f>(((99/(1+Inputs!$F$15)*(1-Inputs!$F$17)*(1-Inputs!$F$18))*(1-Inputs!$F$12-Inputs!$F$13)*Inputs!$F$14-Scenarios!M7-Scenarios!M8/5000)*5000-Scenarios!M12-Inputs!$F$19)</f>
        <v/>
      </c>
    </row>
    <row r="54">
      <c r="A54" t="inlineStr">
        <is>
          <t>MRP Rs</t>
        </is>
      </c>
      <c r="B54" s="18" t="n">
        <v>125</v>
      </c>
      <c r="C54" s="14">
        <f>((125/(1+Inputs!$F$15)*(1-Inputs!$F$17)*(1-Inputs!$F$18))*(1-Inputs!$F$12-Inputs!$F$13)*Inputs!$F$14-Scenarios!M7-Scenarios!M8/5000)</f>
        <v/>
      </c>
      <c r="D54" s="13">
        <f>(((125/(1+Inputs!$F$15)*(1-Inputs!$F$17)*(1-Inputs!$F$18))*(1-Inputs!$F$12-Inputs!$F$13)*Inputs!$F$14-Scenarios!M7-Scenarios!M8/5000)*5000-Scenarios!M12-Inputs!$F$19)</f>
        <v/>
      </c>
    </row>
    <row r="55">
      <c r="A55" t="inlineStr">
        <is>
          <t>Retailer margin</t>
        </is>
      </c>
      <c r="B55" s="16" t="n">
        <v>0.1</v>
      </c>
      <c r="C55" s="14">
        <f>((Inputs!$F$16/(1+Inputs!$F$15)*(1-0.1)*(1-Inputs!$F$18))*(1-Inputs!$F$12-Inputs!$F$13)*Inputs!$F$14-Scenarios!M7-Scenarios!M8/5000)</f>
        <v/>
      </c>
      <c r="D55" s="13">
        <f>(((Inputs!$F$16/(1+Inputs!$F$15)*(1-0.1)*(1-Inputs!$F$18))*(1-Inputs!$F$12-Inputs!$F$13)*Inputs!$F$14-Scenarios!M7-Scenarios!M8/5000)*5000-Scenarios!M12-Inputs!$F$19)</f>
        <v/>
      </c>
    </row>
    <row r="56">
      <c r="A56" t="inlineStr">
        <is>
          <t>Retailer margin</t>
        </is>
      </c>
      <c r="B56" s="16" t="n">
        <v>0.2</v>
      </c>
      <c r="C56" s="14">
        <f>((Inputs!$F$16/(1+Inputs!$F$15)*(1-0.2)*(1-Inputs!$F$18))*(1-Inputs!$F$12-Inputs!$F$13)*Inputs!$F$14-Scenarios!M7-Scenarios!M8/5000)</f>
        <v/>
      </c>
      <c r="D56" s="13">
        <f>(((Inputs!$F$16/(1+Inputs!$F$15)*(1-0.2)*(1-Inputs!$F$18))*(1-Inputs!$F$12-Inputs!$F$13)*Inputs!$F$14-Scenarios!M7-Scenarios!M8/5000)*5000-Scenarios!M12-Inputs!$F$19)</f>
        <v/>
      </c>
    </row>
    <row r="57">
      <c r="A57" t="inlineStr">
        <is>
          <t>Retailer margin</t>
        </is>
      </c>
      <c r="B57" s="16" t="n">
        <v>0.3</v>
      </c>
      <c r="C57" s="14">
        <f>((Inputs!$F$16/(1+Inputs!$F$15)*(1-0.3)*(1-Inputs!$F$18))*(1-Inputs!$F$12-Inputs!$F$13)*Inputs!$F$14-Scenarios!M7-Scenarios!M8/5000)</f>
        <v/>
      </c>
      <c r="D57" s="13">
        <f>(((Inputs!$F$16/(1+Inputs!$F$15)*(1-0.3)*(1-Inputs!$F$18))*(1-Inputs!$F$12-Inputs!$F$13)*Inputs!$F$14-Scenarios!M7-Scenarios!M8/5000)*5000-Scenarios!M12-Inputs!$F$19)</f>
        <v/>
      </c>
    </row>
    <row r="58">
      <c r="A58" t="inlineStr">
        <is>
          <t>Retailer margin</t>
        </is>
      </c>
      <c r="B58" s="16" t="n">
        <v>0.35</v>
      </c>
      <c r="C58" s="14">
        <f>((Inputs!$F$16/(1+Inputs!$F$15)*(1-0.35)*(1-Inputs!$F$18))*(1-Inputs!$F$12-Inputs!$F$13)*Inputs!$F$14-Scenarios!M7-Scenarios!M8/5000)</f>
        <v/>
      </c>
      <c r="D58" s="13">
        <f>(((Inputs!$F$16/(1+Inputs!$F$15)*(1-0.35)*(1-Inputs!$F$18))*(1-Inputs!$F$12-Inputs!$F$13)*Inputs!$F$14-Scenarios!M7-Scenarios!M8/5000)*5000-Scenarios!M12-Inputs!$F$19)</f>
        <v/>
      </c>
    </row>
    <row r="59">
      <c r="A59" t="inlineStr">
        <is>
          <t>Sell-through</t>
        </is>
      </c>
      <c r="B59" s="16" t="n">
        <v>0.4</v>
      </c>
      <c r="C59" s="14">
        <f>((Inputs!$F$16/(1+Inputs!$F$15)*(1-Inputs!$F$17)*(1-Inputs!$F$18))*(1-Inputs!$F$12-Inputs!$F$13)*0.4-Scenarios!M7-Scenarios!M8/5000)</f>
        <v/>
      </c>
      <c r="D59" s="13">
        <f>(((Inputs!$F$16/(1+Inputs!$F$15)*(1-Inputs!$F$17)*(1-Inputs!$F$18))*(1-Inputs!$F$12-Inputs!$F$13)*0.4-Scenarios!M7-Scenarios!M8/5000)*5000-Scenarios!M12-Inputs!$F$19)</f>
        <v/>
      </c>
    </row>
    <row r="60">
      <c r="A60" t="inlineStr">
        <is>
          <t>Sell-through</t>
        </is>
      </c>
      <c r="B60" s="16" t="n">
        <v>0.6</v>
      </c>
      <c r="C60" s="14">
        <f>((Inputs!$F$16/(1+Inputs!$F$15)*(1-Inputs!$F$17)*(1-Inputs!$F$18))*(1-Inputs!$F$12-Inputs!$F$13)*0.6-Scenarios!M7-Scenarios!M8/5000)</f>
        <v/>
      </c>
      <c r="D60" s="13">
        <f>(((Inputs!$F$16/(1+Inputs!$F$15)*(1-Inputs!$F$17)*(1-Inputs!$F$18))*(1-Inputs!$F$12-Inputs!$F$13)*0.6-Scenarios!M7-Scenarios!M8/5000)*5000-Scenarios!M12-Inputs!$F$19)</f>
        <v/>
      </c>
    </row>
    <row r="61">
      <c r="A61" t="inlineStr">
        <is>
          <t>Sell-through</t>
        </is>
      </c>
      <c r="B61" s="16" t="n">
        <v>0.75</v>
      </c>
      <c r="C61" s="14">
        <f>((Inputs!$F$16/(1+Inputs!$F$15)*(1-Inputs!$F$17)*(1-Inputs!$F$18))*(1-Inputs!$F$12-Inputs!$F$13)*0.75-Scenarios!M7-Scenarios!M8/5000)</f>
        <v/>
      </c>
      <c r="D61" s="13">
        <f>(((Inputs!$F$16/(1+Inputs!$F$15)*(1-Inputs!$F$17)*(1-Inputs!$F$18))*(1-Inputs!$F$12-Inputs!$F$13)*0.75-Scenarios!M7-Scenarios!M8/5000)*5000-Scenarios!M12-Inputs!$F$19)</f>
        <v/>
      </c>
    </row>
    <row r="62">
      <c r="A62" t="inlineStr">
        <is>
          <t>Sell-through</t>
        </is>
      </c>
      <c r="B62" s="16" t="n">
        <v>0.95</v>
      </c>
      <c r="C62" s="14">
        <f>((Inputs!$F$16/(1+Inputs!$F$15)*(1-Inputs!$F$17)*(1-Inputs!$F$18))*(1-Inputs!$F$12-Inputs!$F$13)*0.95-Scenarios!M7-Scenarios!M8/5000)</f>
        <v/>
      </c>
      <c r="D62" s="13">
        <f>(((Inputs!$F$16/(1+Inputs!$F$15)*(1-Inputs!$F$17)*(1-Inputs!$F$18))*(1-Inputs!$F$12-Inputs!$F$13)*0.95-Scenarios!M7-Scenarios!M8/5000)*5000-Scenarios!M12-Inputs!$F$19)</f>
        <v/>
      </c>
    </row>
    <row r="63">
      <c r="A63" t="inlineStr">
        <is>
          <t>Sampling %</t>
        </is>
      </c>
      <c r="B63" s="16" t="n">
        <v>0.05</v>
      </c>
      <c r="C63" s="14">
        <f>((Inputs!$F$16/(1+Inputs!$F$15)*(1-Inputs!$F$17)*(1-Inputs!$F$18))*(1-Inputs!$F$12-0.05)*Inputs!$F$14-Scenarios!M7-Scenarios!M8/5000)</f>
        <v/>
      </c>
      <c r="D63" s="13">
        <f>(((Inputs!$F$16/(1+Inputs!$F$15)*(1-Inputs!$F$17)*(1-Inputs!$F$18))*(1-Inputs!$F$12-0.05)*Inputs!$F$14-Scenarios!M7-Scenarios!M8/5000)*5000-Scenarios!M12-Inputs!$F$19)</f>
        <v/>
      </c>
    </row>
    <row r="64">
      <c r="A64" t="inlineStr">
        <is>
          <t>Sampling %</t>
        </is>
      </c>
      <c r="B64" s="16" t="n">
        <v>0.1</v>
      </c>
      <c r="C64" s="14">
        <f>((Inputs!$F$16/(1+Inputs!$F$15)*(1-Inputs!$F$17)*(1-Inputs!$F$18))*(1-Inputs!$F$12-0.1)*Inputs!$F$14-Scenarios!M7-Scenarios!M8/5000)</f>
        <v/>
      </c>
      <c r="D64" s="13">
        <f>(((Inputs!$F$16/(1+Inputs!$F$15)*(1-Inputs!$F$17)*(1-Inputs!$F$18))*(1-Inputs!$F$12-0.1)*Inputs!$F$14-Scenarios!M7-Scenarios!M8/5000)*5000-Scenarios!M12-Inputs!$F$19)</f>
        <v/>
      </c>
    </row>
    <row r="65">
      <c r="A65" t="inlineStr">
        <is>
          <t>Sampling %</t>
        </is>
      </c>
      <c r="B65" s="16" t="n">
        <v>0.2</v>
      </c>
      <c r="C65" s="14">
        <f>((Inputs!$F$16/(1+Inputs!$F$15)*(1-Inputs!$F$17)*(1-Inputs!$F$18))*(1-Inputs!$F$12-0.2)*Inputs!$F$14-Scenarios!M7-Scenarios!M8/5000)</f>
        <v/>
      </c>
      <c r="D65" s="13">
        <f>(((Inputs!$F$16/(1+Inputs!$F$15)*(1-Inputs!$F$17)*(1-Inputs!$F$18))*(1-Inputs!$F$12-0.2)*Inputs!$F$14-Scenarios!M7-Scenarios!M8/5000)*5000-Scenarios!M12-Inputs!$F$19)</f>
        <v/>
      </c>
    </row>
    <row r="66">
      <c r="A66" t="inlineStr">
        <is>
          <t>Fruit adder Rs/can (HYPOTHETICAL)</t>
        </is>
      </c>
      <c r="B66" s="18" t="n">
        <v>8</v>
      </c>
      <c r="C66" s="14">
        <f>((Inputs!$F$16/(1+Inputs!$F$15)*(1-Inputs!$F$17)*(1-Inputs!$F$18))*(1-Inputs!$F$12-Inputs!$F$13)*Inputs!$F$14-(Scenarios!M7-Formulation_Inputs!$G$5+8)-Scenarios!M8/5000)</f>
        <v/>
      </c>
      <c r="D66" s="13">
        <f>(((Inputs!$F$16/(1+Inputs!$F$15)*(1-Inputs!$F$17)*(1-Inputs!$F$18))*(1-Inputs!$F$12-Inputs!$F$13)*Inputs!$F$14-(Scenarios!M7-Formulation_Inputs!$G$5+8)-Scenarios!M8/5000)*5000-Scenarios!M12-Inputs!$F$19)</f>
        <v/>
      </c>
    </row>
    <row r="67">
      <c r="A67" t="inlineStr">
        <is>
          <t>Fruit adder Rs/can (HYPOTHETICAL)</t>
        </is>
      </c>
      <c r="B67" s="18" t="n">
        <v>15</v>
      </c>
      <c r="C67" s="14">
        <f>((Inputs!$F$16/(1+Inputs!$F$15)*(1-Inputs!$F$17)*(1-Inputs!$F$18))*(1-Inputs!$F$12-Inputs!$F$13)*Inputs!$F$14-(Scenarios!M7-Formulation_Inputs!$G$5+15)-Scenarios!M8/5000)</f>
        <v/>
      </c>
      <c r="D67" s="13">
        <f>(((Inputs!$F$16/(1+Inputs!$F$15)*(1-Inputs!$F$17)*(1-Inputs!$F$18))*(1-Inputs!$F$12-Inputs!$F$13)*Inputs!$F$14-(Scenarios!M7-Formulation_Inputs!$G$5+15)-Scenarios!M8/5000)*5000-Scenarios!M12-Inputs!$F$19)</f>
        <v/>
      </c>
    </row>
    <row r="68">
      <c r="A68" t="inlineStr">
        <is>
          <t>Fruit adder Rs/can (HYPOTHETICAL)</t>
        </is>
      </c>
      <c r="B68" s="18" t="n">
        <v>25</v>
      </c>
      <c r="C68" s="14">
        <f>((Inputs!$F$16/(1+Inputs!$F$15)*(1-Inputs!$F$17)*(1-Inputs!$F$18))*(1-Inputs!$F$12-Inputs!$F$13)*Inputs!$F$14-(Scenarios!M7-Formulation_Inputs!$G$5+25)-Scenarios!M8/5000)</f>
        <v/>
      </c>
      <c r="D68" s="13">
        <f>(((Inputs!$F$16/(1+Inputs!$F$15)*(1-Inputs!$F$17)*(1-Inputs!$F$18))*(1-Inputs!$F$12-Inputs!$F$13)*Inputs!$F$14-(Scenarios!M7-Formulation_Inputs!$G$5+25)-Scenarios!M8/5000)*5000-Scenarios!M12-Inputs!$F$19)</f>
        <v/>
      </c>
    </row>
    <row r="70">
      <c r="A70" s="11" t="inlineStr">
        <is>
          <t>Powder (artificial flavour) - 5,000 units</t>
        </is>
      </c>
    </row>
    <row r="71">
      <c r="A71" s="7" t="inlineStr">
        <is>
          <t>Parameter varied</t>
        </is>
      </c>
      <c r="B71" s="7" t="inlineStr">
        <is>
          <t>Value</t>
        </is>
      </c>
      <c r="C71" s="7" t="inlineStr">
        <is>
          <t>Contribution per can produced (Rs)</t>
        </is>
      </c>
      <c r="D71" s="7" t="inlineStr">
        <is>
          <t>Batch result after one-time + launch (Rs)</t>
        </is>
      </c>
    </row>
    <row r="72">
      <c r="A72" t="inlineStr">
        <is>
          <t>MRP Rs</t>
        </is>
      </c>
      <c r="B72" s="18" t="n">
        <v>60</v>
      </c>
      <c r="C72" s="14">
        <f>((60/(1+Inputs!$F$15)*(1-Inputs!$F$17)*(1-Inputs!$F$18))*(1-Inputs!$F$12-Inputs!$F$13)*Inputs!$F$14-Scenarios!D7-Scenarios!D8/5000)</f>
        <v/>
      </c>
      <c r="D72" s="13">
        <f>(((60/(1+Inputs!$F$15)*(1-Inputs!$F$17)*(1-Inputs!$F$18))*(1-Inputs!$F$12-Inputs!$F$13)*Inputs!$F$14-Scenarios!D7-Scenarios!D8/5000)*5000-Scenarios!D12-Inputs!$F$19)</f>
        <v/>
      </c>
    </row>
    <row r="73">
      <c r="A73" t="inlineStr">
        <is>
          <t>MRP Rs</t>
        </is>
      </c>
      <c r="B73" s="18" t="n">
        <v>70</v>
      </c>
      <c r="C73" s="14">
        <f>((70/(1+Inputs!$F$15)*(1-Inputs!$F$17)*(1-Inputs!$F$18))*(1-Inputs!$F$12-Inputs!$F$13)*Inputs!$F$14-Scenarios!D7-Scenarios!D8/5000)</f>
        <v/>
      </c>
      <c r="D73" s="13">
        <f>(((70/(1+Inputs!$F$15)*(1-Inputs!$F$17)*(1-Inputs!$F$18))*(1-Inputs!$F$12-Inputs!$F$13)*Inputs!$F$14-Scenarios!D7-Scenarios!D8/5000)*5000-Scenarios!D12-Inputs!$F$19)</f>
        <v/>
      </c>
    </row>
    <row r="74">
      <c r="A74" t="inlineStr">
        <is>
          <t>MRP Rs</t>
        </is>
      </c>
      <c r="B74" s="18" t="n">
        <v>80</v>
      </c>
      <c r="C74" s="14">
        <f>((80/(1+Inputs!$F$15)*(1-Inputs!$F$17)*(1-Inputs!$F$18))*(1-Inputs!$F$12-Inputs!$F$13)*Inputs!$F$14-Scenarios!D7-Scenarios!D8/5000)</f>
        <v/>
      </c>
      <c r="D74" s="13">
        <f>(((80/(1+Inputs!$F$15)*(1-Inputs!$F$17)*(1-Inputs!$F$18))*(1-Inputs!$F$12-Inputs!$F$13)*Inputs!$F$14-Scenarios!D7-Scenarios!D8/5000)*5000-Scenarios!D12-Inputs!$F$19)</f>
        <v/>
      </c>
    </row>
    <row r="75">
      <c r="A75" t="inlineStr">
        <is>
          <t>MRP Rs</t>
        </is>
      </c>
      <c r="B75" s="18" t="n">
        <v>99</v>
      </c>
      <c r="C75" s="14">
        <f>((99/(1+Inputs!$F$15)*(1-Inputs!$F$17)*(1-Inputs!$F$18))*(1-Inputs!$F$12-Inputs!$F$13)*Inputs!$F$14-Scenarios!D7-Scenarios!D8/5000)</f>
        <v/>
      </c>
      <c r="D75" s="13">
        <f>(((99/(1+Inputs!$F$15)*(1-Inputs!$F$17)*(1-Inputs!$F$18))*(1-Inputs!$F$12-Inputs!$F$13)*Inputs!$F$14-Scenarios!D7-Scenarios!D8/5000)*5000-Scenarios!D12-Inputs!$F$19)</f>
        <v/>
      </c>
    </row>
    <row r="76">
      <c r="A76" t="inlineStr">
        <is>
          <t>MRP Rs</t>
        </is>
      </c>
      <c r="B76" s="18" t="n">
        <v>125</v>
      </c>
      <c r="C76" s="14">
        <f>((125/(1+Inputs!$F$15)*(1-Inputs!$F$17)*(1-Inputs!$F$18))*(1-Inputs!$F$12-Inputs!$F$13)*Inputs!$F$14-Scenarios!D7-Scenarios!D8/5000)</f>
        <v/>
      </c>
      <c r="D76" s="13">
        <f>(((125/(1+Inputs!$F$15)*(1-Inputs!$F$17)*(1-Inputs!$F$18))*(1-Inputs!$F$12-Inputs!$F$13)*Inputs!$F$14-Scenarios!D7-Scenarios!D8/5000)*5000-Scenarios!D12-Inputs!$F$19)</f>
        <v/>
      </c>
    </row>
    <row r="77">
      <c r="A77" t="inlineStr">
        <is>
          <t>Retailer margin</t>
        </is>
      </c>
      <c r="B77" s="16" t="n">
        <v>0.1</v>
      </c>
      <c r="C77" s="14">
        <f>((Inputs!$F$16/(1+Inputs!$F$15)*(1-0.1)*(1-Inputs!$F$18))*(1-Inputs!$F$12-Inputs!$F$13)*Inputs!$F$14-Scenarios!D7-Scenarios!D8/5000)</f>
        <v/>
      </c>
      <c r="D77" s="13">
        <f>(((Inputs!$F$16/(1+Inputs!$F$15)*(1-0.1)*(1-Inputs!$F$18))*(1-Inputs!$F$12-Inputs!$F$13)*Inputs!$F$14-Scenarios!D7-Scenarios!D8/5000)*5000-Scenarios!D12-Inputs!$F$19)</f>
        <v/>
      </c>
    </row>
    <row r="78">
      <c r="A78" t="inlineStr">
        <is>
          <t>Retailer margin</t>
        </is>
      </c>
      <c r="B78" s="16" t="n">
        <v>0.2</v>
      </c>
      <c r="C78" s="14">
        <f>((Inputs!$F$16/(1+Inputs!$F$15)*(1-0.2)*(1-Inputs!$F$18))*(1-Inputs!$F$12-Inputs!$F$13)*Inputs!$F$14-Scenarios!D7-Scenarios!D8/5000)</f>
        <v/>
      </c>
      <c r="D78" s="13">
        <f>(((Inputs!$F$16/(1+Inputs!$F$15)*(1-0.2)*(1-Inputs!$F$18))*(1-Inputs!$F$12-Inputs!$F$13)*Inputs!$F$14-Scenarios!D7-Scenarios!D8/5000)*5000-Scenarios!D12-Inputs!$F$19)</f>
        <v/>
      </c>
    </row>
    <row r="79">
      <c r="A79" t="inlineStr">
        <is>
          <t>Retailer margin</t>
        </is>
      </c>
      <c r="B79" s="16" t="n">
        <v>0.3</v>
      </c>
      <c r="C79" s="14">
        <f>((Inputs!$F$16/(1+Inputs!$F$15)*(1-0.3)*(1-Inputs!$F$18))*(1-Inputs!$F$12-Inputs!$F$13)*Inputs!$F$14-Scenarios!D7-Scenarios!D8/5000)</f>
        <v/>
      </c>
      <c r="D79" s="13">
        <f>(((Inputs!$F$16/(1+Inputs!$F$15)*(1-0.3)*(1-Inputs!$F$18))*(1-Inputs!$F$12-Inputs!$F$13)*Inputs!$F$14-Scenarios!D7-Scenarios!D8/5000)*5000-Scenarios!D12-Inputs!$F$19)</f>
        <v/>
      </c>
    </row>
    <row r="80">
      <c r="A80" t="inlineStr">
        <is>
          <t>Retailer margin</t>
        </is>
      </c>
      <c r="B80" s="16" t="n">
        <v>0.35</v>
      </c>
      <c r="C80" s="14">
        <f>((Inputs!$F$16/(1+Inputs!$F$15)*(1-0.35)*(1-Inputs!$F$18))*(1-Inputs!$F$12-Inputs!$F$13)*Inputs!$F$14-Scenarios!D7-Scenarios!D8/5000)</f>
        <v/>
      </c>
      <c r="D80" s="13">
        <f>(((Inputs!$F$16/(1+Inputs!$F$15)*(1-0.35)*(1-Inputs!$F$18))*(1-Inputs!$F$12-Inputs!$F$13)*Inputs!$F$14-Scenarios!D7-Scenarios!D8/5000)*5000-Scenarios!D12-Inputs!$F$19)</f>
        <v/>
      </c>
    </row>
    <row r="81">
      <c r="A81" t="inlineStr">
        <is>
          <t>Sell-through</t>
        </is>
      </c>
      <c r="B81" s="16" t="n">
        <v>0.4</v>
      </c>
      <c r="C81" s="14">
        <f>((Inputs!$F$16/(1+Inputs!$F$15)*(1-Inputs!$F$17)*(1-Inputs!$F$18))*(1-Inputs!$F$12-Inputs!$F$13)*0.4-Scenarios!D7-Scenarios!D8/5000)</f>
        <v/>
      </c>
      <c r="D81" s="13">
        <f>(((Inputs!$F$16/(1+Inputs!$F$15)*(1-Inputs!$F$17)*(1-Inputs!$F$18))*(1-Inputs!$F$12-Inputs!$F$13)*0.4-Scenarios!D7-Scenarios!D8/5000)*5000-Scenarios!D12-Inputs!$F$19)</f>
        <v/>
      </c>
    </row>
    <row r="82">
      <c r="A82" t="inlineStr">
        <is>
          <t>Sell-through</t>
        </is>
      </c>
      <c r="B82" s="16" t="n">
        <v>0.6</v>
      </c>
      <c r="C82" s="14">
        <f>((Inputs!$F$16/(1+Inputs!$F$15)*(1-Inputs!$F$17)*(1-Inputs!$F$18))*(1-Inputs!$F$12-Inputs!$F$13)*0.6-Scenarios!D7-Scenarios!D8/5000)</f>
        <v/>
      </c>
      <c r="D82" s="13">
        <f>(((Inputs!$F$16/(1+Inputs!$F$15)*(1-Inputs!$F$17)*(1-Inputs!$F$18))*(1-Inputs!$F$12-Inputs!$F$13)*0.6-Scenarios!D7-Scenarios!D8/5000)*5000-Scenarios!D12-Inputs!$F$19)</f>
        <v/>
      </c>
    </row>
    <row r="83">
      <c r="A83" t="inlineStr">
        <is>
          <t>Sell-through</t>
        </is>
      </c>
      <c r="B83" s="16" t="n">
        <v>0.75</v>
      </c>
      <c r="C83" s="14">
        <f>((Inputs!$F$16/(1+Inputs!$F$15)*(1-Inputs!$F$17)*(1-Inputs!$F$18))*(1-Inputs!$F$12-Inputs!$F$13)*0.75-Scenarios!D7-Scenarios!D8/5000)</f>
        <v/>
      </c>
      <c r="D83" s="13">
        <f>(((Inputs!$F$16/(1+Inputs!$F$15)*(1-Inputs!$F$17)*(1-Inputs!$F$18))*(1-Inputs!$F$12-Inputs!$F$13)*0.75-Scenarios!D7-Scenarios!D8/5000)*5000-Scenarios!D12-Inputs!$F$19)</f>
        <v/>
      </c>
    </row>
    <row r="84">
      <c r="A84" t="inlineStr">
        <is>
          <t>Sell-through</t>
        </is>
      </c>
      <c r="B84" s="16" t="n">
        <v>0.95</v>
      </c>
      <c r="C84" s="14">
        <f>((Inputs!$F$16/(1+Inputs!$F$15)*(1-Inputs!$F$17)*(1-Inputs!$F$18))*(1-Inputs!$F$12-Inputs!$F$13)*0.95-Scenarios!D7-Scenarios!D8/5000)</f>
        <v/>
      </c>
      <c r="D84" s="13">
        <f>(((Inputs!$F$16/(1+Inputs!$F$15)*(1-Inputs!$F$17)*(1-Inputs!$F$18))*(1-Inputs!$F$12-Inputs!$F$13)*0.95-Scenarios!D7-Scenarios!D8/5000)*5000-Scenarios!D12-Inputs!$F$19)</f>
        <v/>
      </c>
    </row>
    <row r="85">
      <c r="A85" t="inlineStr">
        <is>
          <t>Sampling %</t>
        </is>
      </c>
      <c r="B85" s="16" t="n">
        <v>0.05</v>
      </c>
      <c r="C85" s="14">
        <f>((Inputs!$F$16/(1+Inputs!$F$15)*(1-Inputs!$F$17)*(1-Inputs!$F$18))*(1-Inputs!$F$12-0.05)*Inputs!$F$14-Scenarios!D7-Scenarios!D8/5000)</f>
        <v/>
      </c>
      <c r="D85" s="13">
        <f>(((Inputs!$F$16/(1+Inputs!$F$15)*(1-Inputs!$F$17)*(1-Inputs!$F$18))*(1-Inputs!$F$12-0.05)*Inputs!$F$14-Scenarios!D7-Scenarios!D8/5000)*5000-Scenarios!D12-Inputs!$F$19)</f>
        <v/>
      </c>
    </row>
    <row r="86">
      <c r="A86" t="inlineStr">
        <is>
          <t>Sampling %</t>
        </is>
      </c>
      <c r="B86" s="16" t="n">
        <v>0.1</v>
      </c>
      <c r="C86" s="14">
        <f>((Inputs!$F$16/(1+Inputs!$F$15)*(1-Inputs!$F$17)*(1-Inputs!$F$18))*(1-Inputs!$F$12-0.1)*Inputs!$F$14-Scenarios!D7-Scenarios!D8/5000)</f>
        <v/>
      </c>
      <c r="D86" s="13">
        <f>(((Inputs!$F$16/(1+Inputs!$F$15)*(1-Inputs!$F$17)*(1-Inputs!$F$18))*(1-Inputs!$F$12-0.1)*Inputs!$F$14-Scenarios!D7-Scenarios!D8/5000)*5000-Scenarios!D12-Inputs!$F$19)</f>
        <v/>
      </c>
    </row>
    <row r="87">
      <c r="A87" t="inlineStr">
        <is>
          <t>Sampling %</t>
        </is>
      </c>
      <c r="B87" s="16" t="n">
        <v>0.2</v>
      </c>
      <c r="C87" s="14">
        <f>((Inputs!$F$16/(1+Inputs!$F$15)*(1-Inputs!$F$17)*(1-Inputs!$F$18))*(1-Inputs!$F$12-0.2)*Inputs!$F$14-Scenarios!D7-Scenarios!D8/5000)</f>
        <v/>
      </c>
      <c r="D87" s="13">
        <f>(((Inputs!$F$16/(1+Inputs!$F$15)*(1-Inputs!$F$17)*(1-Inputs!$F$18))*(1-Inputs!$F$12-0.2)*Inputs!$F$14-Scenarios!D7-Scenarios!D8/5000)*5000-Scenarios!D12-Inputs!$F$19)</f>
        <v/>
      </c>
    </row>
    <row r="89">
      <c r="A89" s="11" t="inlineStr">
        <is>
          <t>TWO-WAY: Blueberry 5,000 - contribution per can produced (Rs) by MRP (rows) x retailer margin (columns)</t>
        </is>
      </c>
    </row>
    <row r="90">
      <c r="A90" t="inlineStr">
        <is>
          <t>MRP \ retailer</t>
        </is>
      </c>
      <c r="B90" s="19" t="n">
        <v>0.1</v>
      </c>
      <c r="C90" s="19" t="n">
        <v>0.15</v>
      </c>
      <c r="D90" s="19" t="n">
        <v>0.2</v>
      </c>
      <c r="E90" s="19" t="n">
        <v>0.25</v>
      </c>
      <c r="F90" s="19" t="n">
        <v>0.3</v>
      </c>
    </row>
    <row r="91">
      <c r="A91" s="11" t="n">
        <v>70</v>
      </c>
      <c r="B91" s="14">
        <f>((70/(1+Inputs!$F$15)*(1-0.1)*(1-Inputs!$F$18))*(1-Inputs!$F$12-Inputs!$F$13)*Inputs!$F$14-Scenarios!G7-Scenarios!G8/5000)</f>
        <v/>
      </c>
      <c r="C91" s="14">
        <f>((70/(1+Inputs!$F$15)*(1-0.15)*(1-Inputs!$F$18))*(1-Inputs!$F$12-Inputs!$F$13)*Inputs!$F$14-Scenarios!G7-Scenarios!G8/5000)</f>
        <v/>
      </c>
      <c r="D91" s="14">
        <f>((70/(1+Inputs!$F$15)*(1-0.2)*(1-Inputs!$F$18))*(1-Inputs!$F$12-Inputs!$F$13)*Inputs!$F$14-Scenarios!G7-Scenarios!G8/5000)</f>
        <v/>
      </c>
      <c r="E91" s="14">
        <f>((70/(1+Inputs!$F$15)*(1-0.25)*(1-Inputs!$F$18))*(1-Inputs!$F$12-Inputs!$F$13)*Inputs!$F$14-Scenarios!G7-Scenarios!G8/5000)</f>
        <v/>
      </c>
      <c r="F91" s="14">
        <f>((70/(1+Inputs!$F$15)*(1-0.3)*(1-Inputs!$F$18))*(1-Inputs!$F$12-Inputs!$F$13)*Inputs!$F$14-Scenarios!G7-Scenarios!G8/5000)</f>
        <v/>
      </c>
    </row>
    <row r="92">
      <c r="A92" s="11" t="n">
        <v>80</v>
      </c>
      <c r="B92" s="14">
        <f>((80/(1+Inputs!$F$15)*(1-0.1)*(1-Inputs!$F$18))*(1-Inputs!$F$12-Inputs!$F$13)*Inputs!$F$14-Scenarios!G7-Scenarios!G8/5000)</f>
        <v/>
      </c>
      <c r="C92" s="14">
        <f>((80/(1+Inputs!$F$15)*(1-0.15)*(1-Inputs!$F$18))*(1-Inputs!$F$12-Inputs!$F$13)*Inputs!$F$14-Scenarios!G7-Scenarios!G8/5000)</f>
        <v/>
      </c>
      <c r="D92" s="14">
        <f>((80/(1+Inputs!$F$15)*(1-0.2)*(1-Inputs!$F$18))*(1-Inputs!$F$12-Inputs!$F$13)*Inputs!$F$14-Scenarios!G7-Scenarios!G8/5000)</f>
        <v/>
      </c>
      <c r="E92" s="14">
        <f>((80/(1+Inputs!$F$15)*(1-0.25)*(1-Inputs!$F$18))*(1-Inputs!$F$12-Inputs!$F$13)*Inputs!$F$14-Scenarios!G7-Scenarios!G8/5000)</f>
        <v/>
      </c>
      <c r="F92" s="14">
        <f>((80/(1+Inputs!$F$15)*(1-0.3)*(1-Inputs!$F$18))*(1-Inputs!$F$12-Inputs!$F$13)*Inputs!$F$14-Scenarios!G7-Scenarios!G8/5000)</f>
        <v/>
      </c>
    </row>
    <row r="93">
      <c r="A93" s="11" t="n">
        <v>99</v>
      </c>
      <c r="B93" s="14">
        <f>((99/(1+Inputs!$F$15)*(1-0.1)*(1-Inputs!$F$18))*(1-Inputs!$F$12-Inputs!$F$13)*Inputs!$F$14-Scenarios!G7-Scenarios!G8/5000)</f>
        <v/>
      </c>
      <c r="C93" s="14">
        <f>((99/(1+Inputs!$F$15)*(1-0.15)*(1-Inputs!$F$18))*(1-Inputs!$F$12-Inputs!$F$13)*Inputs!$F$14-Scenarios!G7-Scenarios!G8/5000)</f>
        <v/>
      </c>
      <c r="D93" s="14">
        <f>((99/(1+Inputs!$F$15)*(1-0.2)*(1-Inputs!$F$18))*(1-Inputs!$F$12-Inputs!$F$13)*Inputs!$F$14-Scenarios!G7-Scenarios!G8/5000)</f>
        <v/>
      </c>
      <c r="E93" s="14">
        <f>((99/(1+Inputs!$F$15)*(1-0.25)*(1-Inputs!$F$18))*(1-Inputs!$F$12-Inputs!$F$13)*Inputs!$F$14-Scenarios!G7-Scenarios!G8/5000)</f>
        <v/>
      </c>
      <c r="F93" s="14">
        <f>((99/(1+Inputs!$F$15)*(1-0.3)*(1-Inputs!$F$18))*(1-Inputs!$F$12-Inputs!$F$13)*Inputs!$F$14-Scenarios!G7-Scenarios!G8/5000)</f>
        <v/>
      </c>
    </row>
    <row r="94">
      <c r="A94" s="11" t="n">
        <v>110</v>
      </c>
      <c r="B94" s="14">
        <f>((110/(1+Inputs!$F$15)*(1-0.1)*(1-Inputs!$F$18))*(1-Inputs!$F$12-Inputs!$F$13)*Inputs!$F$14-Scenarios!G7-Scenarios!G8/5000)</f>
        <v/>
      </c>
      <c r="C94" s="14">
        <f>((110/(1+Inputs!$F$15)*(1-0.15)*(1-Inputs!$F$18))*(1-Inputs!$F$12-Inputs!$F$13)*Inputs!$F$14-Scenarios!G7-Scenarios!G8/5000)</f>
        <v/>
      </c>
      <c r="D94" s="14">
        <f>((110/(1+Inputs!$F$15)*(1-0.2)*(1-Inputs!$F$18))*(1-Inputs!$F$12-Inputs!$F$13)*Inputs!$F$14-Scenarios!G7-Scenarios!G8/5000)</f>
        <v/>
      </c>
      <c r="E94" s="14">
        <f>((110/(1+Inputs!$F$15)*(1-0.25)*(1-Inputs!$F$18))*(1-Inputs!$F$12-Inputs!$F$13)*Inputs!$F$14-Scenarios!G7-Scenarios!G8/5000)</f>
        <v/>
      </c>
      <c r="F94" s="14">
        <f>((110/(1+Inputs!$F$15)*(1-0.3)*(1-Inputs!$F$18))*(1-Inputs!$F$12-Inputs!$F$13)*Inputs!$F$14-Scenarios!G7-Scenarios!G8/5000)</f>
        <v/>
      </c>
    </row>
    <row r="95">
      <c r="A95" s="11" t="n">
        <v>125</v>
      </c>
      <c r="B95" s="14">
        <f>((125/(1+Inputs!$F$15)*(1-0.1)*(1-Inputs!$F$18))*(1-Inputs!$F$12-Inputs!$F$13)*Inputs!$F$14-Scenarios!G7-Scenarios!G8/5000)</f>
        <v/>
      </c>
      <c r="C95" s="14">
        <f>((125/(1+Inputs!$F$15)*(1-0.15)*(1-Inputs!$F$18))*(1-Inputs!$F$12-Inputs!$F$13)*Inputs!$F$14-Scenarios!G7-Scenarios!G8/5000)</f>
        <v/>
      </c>
      <c r="D95" s="14">
        <f>((125/(1+Inputs!$F$15)*(1-0.2)*(1-Inputs!$F$18))*(1-Inputs!$F$12-Inputs!$F$13)*Inputs!$F$14-Scenarios!G7-Scenarios!G8/5000)</f>
        <v/>
      </c>
      <c r="E95" s="14">
        <f>((125/(1+Inputs!$F$15)*(1-0.25)*(1-Inputs!$F$18))*(1-Inputs!$F$12-Inputs!$F$13)*Inputs!$F$14-Scenarios!G7-Scenarios!G8/5000)</f>
        <v/>
      </c>
      <c r="F95" s="14">
        <f>((125/(1+Inputs!$F$15)*(1-0.3)*(1-Inputs!$F$18))*(1-Inputs!$F$12-Inputs!$F$13)*Inputs!$F$14-Scenarios!G7-Scenarios!G8/5000)</f>
        <v/>
      </c>
    </row>
    <row r="96">
      <c r="A96" s="11" t="n">
        <v>150</v>
      </c>
      <c r="B96" s="14">
        <f>((150/(1+Inputs!$F$15)*(1-0.1)*(1-Inputs!$F$18))*(1-Inputs!$F$12-Inputs!$F$13)*Inputs!$F$14-Scenarios!G7-Scenarios!G8/5000)</f>
        <v/>
      </c>
      <c r="C96" s="14">
        <f>((150/(1+Inputs!$F$15)*(1-0.15)*(1-Inputs!$F$18))*(1-Inputs!$F$12-Inputs!$F$13)*Inputs!$F$14-Scenarios!G7-Scenarios!G8/5000)</f>
        <v/>
      </c>
      <c r="D96" s="14">
        <f>((150/(1+Inputs!$F$15)*(1-0.2)*(1-Inputs!$F$18))*(1-Inputs!$F$12-Inputs!$F$13)*Inputs!$F$14-Scenarios!G7-Scenarios!G8/5000)</f>
        <v/>
      </c>
      <c r="E96" s="14">
        <f>((150/(1+Inputs!$F$15)*(1-0.25)*(1-Inputs!$F$18))*(1-Inputs!$F$12-Inputs!$F$13)*Inputs!$F$14-Scenarios!G7-Scenarios!G8/5000)</f>
        <v/>
      </c>
      <c r="F96" s="14">
        <f>((150/(1+Inputs!$F$15)*(1-0.3)*(1-Inputs!$F$18))*(1-Inputs!$F$12-Inputs!$F$13)*Inputs!$F$14-Scenarios!G7-Scenarios!G8/5000)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6" customWidth="1" min="3" max="3"/>
    <col width="40" customWidth="1" min="4" max="4"/>
    <col width="45" customWidth="1" min="5" max="5"/>
  </cols>
  <sheetData>
    <row r="1">
      <c r="A1" s="1" t="inlineStr">
        <is>
          <t>WHAT MUST BE TRUE: minimum MRP (incl. GST) for each scenario</t>
        </is>
      </c>
    </row>
    <row r="3">
      <c r="A3" s="7" t="inlineStr">
        <is>
          <t>Scenario</t>
        </is>
      </c>
      <c r="B3" s="7" t="inlineStr">
        <is>
          <t>Cost per can SOLD</t>
        </is>
      </c>
      <c r="C3" s="7" t="inlineStr">
        <is>
          <t>MRP to break even on the batch</t>
        </is>
      </c>
      <c r="D3" s="7" t="inlineStr">
        <is>
          <t>MRP to also recover one-time + launch from THIS batch</t>
        </is>
      </c>
      <c r="E3" s="7" t="inlineStr">
        <is>
          <t>Compare: Sting Rs 20 (250 ml), Red Bull Rs 125 (250 ml)</t>
        </is>
      </c>
    </row>
    <row r="4">
      <c r="A4" t="inlineStr">
        <is>
          <t>Powder (artificial flavour) x 2,000</t>
        </is>
      </c>
      <c r="B4" s="14">
        <f>Scenarios!C26</f>
        <v/>
      </c>
      <c r="C4" s="13">
        <f>Scenarios!C26/((1-Inputs!$F$17)*(1-Inputs!$F$18))*(1+Inputs!$F$15)</f>
        <v/>
      </c>
      <c r="D4" s="13">
        <f>(Scenarios!C10+Scenarios!C12+Inputs!$F$19)/Scenarios!C16/((1-Inputs!$F$17)*(1-Inputs!$F$18))*(1+Inputs!$F$15)</f>
        <v/>
      </c>
    </row>
    <row r="5">
      <c r="A5" t="inlineStr">
        <is>
          <t>Powder (artificial flavour) x 5,000</t>
        </is>
      </c>
      <c r="B5" s="14">
        <f>Scenarios!D26</f>
        <v/>
      </c>
      <c r="C5" s="13">
        <f>Scenarios!D26/((1-Inputs!$F$17)*(1-Inputs!$F$18))*(1+Inputs!$F$15)</f>
        <v/>
      </c>
      <c r="D5" s="13">
        <f>(Scenarios!D10+Scenarios!D12+Inputs!$F$19)/Scenarios!D16/((1-Inputs!$F$17)*(1-Inputs!$F$18))*(1+Inputs!$F$15)</f>
        <v/>
      </c>
    </row>
    <row r="6">
      <c r="A6" t="inlineStr">
        <is>
          <t>Powder (artificial flavour) x 10,000</t>
        </is>
      </c>
      <c r="B6" s="14">
        <f>Scenarios!E26</f>
        <v/>
      </c>
      <c r="C6" s="13">
        <f>Scenarios!E26/((1-Inputs!$F$17)*(1-Inputs!$F$18))*(1+Inputs!$F$15)</f>
        <v/>
      </c>
      <c r="D6" s="13">
        <f>(Scenarios!E10+Scenarios!E12+Inputs!$F$19)/Scenarios!E16/((1-Inputs!$F$17)*(1-Inputs!$F$18))*(1+Inputs!$F$15)</f>
        <v/>
      </c>
    </row>
    <row r="7">
      <c r="A7" t="inlineStr">
        <is>
          <t>Blueberry (real fruit/juice) x 2,000</t>
        </is>
      </c>
      <c r="B7" s="14">
        <f>Scenarios!F26</f>
        <v/>
      </c>
      <c r="C7" s="13">
        <f>Scenarios!F26/((1-Inputs!$F$17)*(1-Inputs!$F$18))*(1+Inputs!$F$15)</f>
        <v/>
      </c>
      <c r="D7" s="13">
        <f>(Scenarios!F10+Scenarios!F12+Inputs!$F$19)/Scenarios!F16/((1-Inputs!$F$17)*(1-Inputs!$F$18))*(1+Inputs!$F$15)</f>
        <v/>
      </c>
    </row>
    <row r="8">
      <c r="A8" t="inlineStr">
        <is>
          <t>Blueberry (real fruit/juice) x 5,000</t>
        </is>
      </c>
      <c r="B8" s="14">
        <f>Scenarios!G26</f>
        <v/>
      </c>
      <c r="C8" s="13">
        <f>Scenarios!G26/((1-Inputs!$F$17)*(1-Inputs!$F$18))*(1+Inputs!$F$15)</f>
        <v/>
      </c>
      <c r="D8" s="13">
        <f>(Scenarios!G10+Scenarios!G12+Inputs!$F$19)/Scenarios!G16/((1-Inputs!$F$17)*(1-Inputs!$F$18))*(1+Inputs!$F$15)</f>
        <v/>
      </c>
    </row>
    <row r="9">
      <c r="A9" t="inlineStr">
        <is>
          <t>Blueberry (real fruit/juice) x 10,000</t>
        </is>
      </c>
      <c r="B9" s="14">
        <f>Scenarios!H26</f>
        <v/>
      </c>
      <c r="C9" s="13">
        <f>Scenarios!H26/((1-Inputs!$F$17)*(1-Inputs!$F$18))*(1+Inputs!$F$15)</f>
        <v/>
      </c>
      <c r="D9" s="13">
        <f>(Scenarios!H10+Scenarios!H12+Inputs!$F$19)/Scenarios!H16/((1-Inputs!$F$17)*(1-Inputs!$F$18))*(1+Inputs!$F$15)</f>
        <v/>
      </c>
    </row>
    <row r="10">
      <c r="A10" t="inlineStr">
        <is>
          <t>Lemon (juice/natural flavour) x 2,000</t>
        </is>
      </c>
      <c r="B10" s="14">
        <f>Scenarios!I26</f>
        <v/>
      </c>
      <c r="C10" s="13">
        <f>Scenarios!I26/((1-Inputs!$F$17)*(1-Inputs!$F$18))*(1+Inputs!$F$15)</f>
        <v/>
      </c>
      <c r="D10" s="13">
        <f>(Scenarios!I10+Scenarios!I12+Inputs!$F$19)/Scenarios!I16/((1-Inputs!$F$17)*(1-Inputs!$F$18))*(1+Inputs!$F$15)</f>
        <v/>
      </c>
    </row>
    <row r="11">
      <c r="A11" t="inlineStr">
        <is>
          <t>Lemon (juice/natural flavour) x 5,000</t>
        </is>
      </c>
      <c r="B11" s="14">
        <f>Scenarios!J26</f>
        <v/>
      </c>
      <c r="C11" s="13">
        <f>Scenarios!J26/((1-Inputs!$F$17)*(1-Inputs!$F$18))*(1+Inputs!$F$15)</f>
        <v/>
      </c>
      <c r="D11" s="13">
        <f>(Scenarios!J10+Scenarios!J12+Inputs!$F$19)/Scenarios!J16/((1-Inputs!$F$17)*(1-Inputs!$F$18))*(1+Inputs!$F$15)</f>
        <v/>
      </c>
    </row>
    <row r="12">
      <c r="A12" t="inlineStr">
        <is>
          <t>Lemon (juice/natural flavour) x 10,000</t>
        </is>
      </c>
      <c r="B12" s="14">
        <f>Scenarios!K26</f>
        <v/>
      </c>
      <c r="C12" s="13">
        <f>Scenarios!K26/((1-Inputs!$F$17)*(1-Inputs!$F$18))*(1+Inputs!$F$15)</f>
        <v/>
      </c>
      <c r="D12" s="13">
        <f>(Scenarios!K10+Scenarios!K12+Inputs!$F$19)/Scenarios!K16/((1-Inputs!$F$17)*(1-Inputs!$F$18))*(1+Inputs!$F$15)</f>
        <v/>
      </c>
    </row>
    <row r="13">
      <c r="A13" t="inlineStr">
        <is>
          <t>Coconut (coconut-water base) x 2,000</t>
        </is>
      </c>
      <c r="B13" s="14">
        <f>Scenarios!L26</f>
        <v/>
      </c>
      <c r="C13" s="13">
        <f>Scenarios!L26/((1-Inputs!$F$17)*(1-Inputs!$F$18))*(1+Inputs!$F$15)</f>
        <v/>
      </c>
      <c r="D13" s="13">
        <f>(Scenarios!L10+Scenarios!L12+Inputs!$F$19)/Scenarios!L16/((1-Inputs!$F$17)*(1-Inputs!$F$18))*(1+Inputs!$F$15)</f>
        <v/>
      </c>
    </row>
    <row r="14">
      <c r="A14" t="inlineStr">
        <is>
          <t>Coconut (coconut-water base) x 5,000</t>
        </is>
      </c>
      <c r="B14" s="14">
        <f>Scenarios!M26</f>
        <v/>
      </c>
      <c r="C14" s="13">
        <f>Scenarios!M26/((1-Inputs!$F$17)*(1-Inputs!$F$18))*(1+Inputs!$F$15)</f>
        <v/>
      </c>
      <c r="D14" s="13">
        <f>(Scenarios!M10+Scenarios!M12+Inputs!$F$19)/Scenarios!M16/((1-Inputs!$F$17)*(1-Inputs!$F$18))*(1+Inputs!$F$15)</f>
        <v/>
      </c>
    </row>
    <row r="15">
      <c r="A15" t="inlineStr">
        <is>
          <t>Coconut (coconut-water base) x 10,000</t>
        </is>
      </c>
      <c r="B15" s="14">
        <f>Scenarios!N26</f>
        <v/>
      </c>
      <c r="C15" s="13">
        <f>Scenarios!N26/((1-Inputs!$F$17)*(1-Inputs!$F$18))*(1+Inputs!$F$15)</f>
        <v/>
      </c>
      <c r="D15" s="13">
        <f>(Scenarios!N10+Scenarios!N12+Inputs!$F$19)/Scenarios!N16/((1-Inputs!$F$17)*(1-Inputs!$F$18))*(1+Inputs!$F$15)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2" customWidth="1" min="3" max="3"/>
    <col width="22" customWidth="1" min="4" max="4"/>
    <col width="50" customWidth="1" min="5" max="5"/>
  </cols>
  <sheetData>
    <row r="1">
      <c r="A1" s="1" t="inlineStr">
        <is>
          <t>QUICK COMMERCE / D2C: 6-can pack economics (illustrative; fee levels from low-confidence practitioner sources S39/S40)</t>
        </is>
      </c>
    </row>
    <row r="3">
      <c r="A3" s="7" t="inlineStr">
        <is>
          <t>Item</t>
        </is>
      </c>
      <c r="B3" s="7" t="inlineStr">
        <is>
          <t>Quick commerce (Blinkit-type)</t>
        </is>
      </c>
      <c r="C3" s="7" t="inlineStr">
        <is>
          <t>Own D2C website</t>
        </is>
      </c>
      <c r="D3" s="7" t="inlineStr">
        <is>
          <t>Type</t>
        </is>
      </c>
      <c r="E3" s="7" t="inlineStr">
        <is>
          <t>Note</t>
        </is>
      </c>
    </row>
    <row r="4">
      <c r="A4" t="inlineStr">
        <is>
          <t>Cans per order</t>
        </is>
      </c>
      <c r="B4" s="14" t="n">
        <v>6</v>
      </c>
      <c r="C4" s="14" t="n">
        <v>6</v>
      </c>
      <c r="D4" t="inlineStr">
        <is>
          <t>ASSUMED</t>
        </is>
      </c>
      <c r="E4" t="inlineStr"/>
    </row>
    <row r="5">
      <c r="A5" t="inlineStr">
        <is>
          <t>MRP per can (incl. GST)</t>
        </is>
      </c>
      <c r="B5" s="14">
        <f>Inputs!$F$16</f>
        <v/>
      </c>
      <c r="C5" s="14">
        <f>Inputs!$F$16</f>
        <v/>
      </c>
      <c r="D5" t="inlineStr">
        <is>
          <t>ASSUMED</t>
        </is>
      </c>
      <c r="E5" t="inlineStr">
        <is>
          <t>links to Inputs</t>
        </is>
      </c>
    </row>
    <row r="6">
      <c r="A6" t="inlineStr">
        <is>
          <t>Order value incl. GST</t>
        </is>
      </c>
      <c r="B6" s="14">
        <f>B4*B5</f>
        <v/>
      </c>
      <c r="C6" s="14">
        <f>C4*C5</f>
        <v/>
      </c>
      <c r="D6" t="inlineStr">
        <is>
          <t>CALC</t>
        </is>
      </c>
      <c r="E6" t="inlineStr"/>
    </row>
    <row r="7">
      <c r="A7" t="inlineStr">
        <is>
          <t>Order value ex-GST</t>
        </is>
      </c>
      <c r="B7" s="14">
        <f>B6/(1+Inputs!$F$15)</f>
        <v/>
      </c>
      <c r="C7" s="14">
        <f>C6/(1+Inputs!$F$15)</f>
        <v/>
      </c>
      <c r="D7" t="inlineStr">
        <is>
          <t>CALC</t>
        </is>
      </c>
      <c r="E7" t="inlineStr"/>
    </row>
    <row r="8">
      <c r="A8" t="inlineStr">
        <is>
          <t>Platform commission %</t>
        </is>
      </c>
      <c r="B8" s="16" t="n">
        <v>0.18</v>
      </c>
      <c r="C8" s="16" t="n">
        <v>0</v>
      </c>
      <c r="D8" t="inlineStr">
        <is>
          <t>RESEARCHED</t>
        </is>
      </c>
      <c r="E8" t="inlineStr">
        <is>
          <t>S39: 10-22%</t>
        </is>
      </c>
    </row>
    <row r="9">
      <c r="A9" t="inlineStr">
        <is>
          <t>Commission Rs</t>
        </is>
      </c>
      <c r="B9" s="14">
        <f>B7*B8</f>
        <v/>
      </c>
      <c r="C9" s="14">
        <f>C7*C8</f>
        <v/>
      </c>
      <c r="D9" t="inlineStr">
        <is>
          <t>CALC</t>
        </is>
      </c>
      <c r="E9" t="inlineStr"/>
    </row>
    <row r="10">
      <c r="A10" t="inlineStr">
        <is>
          <t>Fulfilment / shipping per order</t>
        </is>
      </c>
      <c r="B10" s="14" t="n">
        <v>50</v>
      </c>
      <c r="C10" s="14" t="n">
        <v>120</v>
      </c>
      <c r="D10" t="inlineStr">
        <is>
          <t>RESEARCHED / ASSUMED</t>
        </is>
      </c>
      <c r="E10" t="inlineStr">
        <is>
          <t>QC ~Rs 50 (S39); courier for ~1.6 kg assumed Rs 120</t>
        </is>
      </c>
    </row>
    <row r="11">
      <c r="A11" t="inlineStr">
        <is>
          <t>Payment gateway %</t>
        </is>
      </c>
      <c r="B11" s="16" t="n">
        <v>0</v>
      </c>
      <c r="C11" s="16" t="n">
        <v>0.02</v>
      </c>
      <c r="D11" t="inlineStr">
        <is>
          <t>ASSUMED</t>
        </is>
      </c>
      <c r="E11" t="inlineStr"/>
    </row>
    <row r="12">
      <c r="A12" t="inlineStr">
        <is>
          <t>Ad spend per order (CAC allocation)</t>
        </is>
      </c>
      <c r="B12" s="14" t="n">
        <v>60</v>
      </c>
      <c r="C12" s="14" t="n">
        <v>150</v>
      </c>
      <c r="D12" t="inlineStr">
        <is>
          <t>HYPOTHETICAL</t>
        </is>
      </c>
      <c r="E12" t="inlineStr">
        <is>
          <t>Unknown for this category; test.</t>
        </is>
      </c>
    </row>
    <row r="13">
      <c r="A13" t="inlineStr">
        <is>
          <t>Product cost (6 x Lemon 5k production cost per can)</t>
        </is>
      </c>
      <c r="B13" s="14">
        <f>6*Scenarios!J11</f>
        <v/>
      </c>
      <c r="C13" s="14">
        <f>6*Scenarios!J11</f>
        <v/>
      </c>
      <c r="D13" t="inlineStr">
        <is>
          <t>CALC</t>
        </is>
      </c>
      <c r="E13" t="inlineStr">
        <is>
          <t>links to Scenarios</t>
        </is>
      </c>
    </row>
    <row r="14">
      <c r="A14" t="inlineStr">
        <is>
          <t>Contribution per order</t>
        </is>
      </c>
      <c r="B14" s="14">
        <f>B7-B9-B10-B7*B11-B12-B13</f>
        <v/>
      </c>
      <c r="C14" s="14">
        <f>C7-C9-C10-C7*C11-C12-C13</f>
        <v/>
      </c>
      <c r="D14" t="inlineStr">
        <is>
          <t>CALC</t>
        </is>
      </c>
      <c r="E14" t="inlineStr"/>
    </row>
    <row r="15">
      <c r="A15" t="inlineStr">
        <is>
          <t>Contribution per can</t>
        </is>
      </c>
      <c r="B15" s="14">
        <f>B14/B4</f>
        <v/>
      </c>
      <c r="C15" s="14">
        <f>C14/C4</f>
        <v/>
      </c>
      <c r="D15" t="inlineStr">
        <is>
          <t>CALC</t>
        </is>
      </c>
      <c r="E15" t="inlineStr"/>
    </row>
    <row r="16">
      <c r="A16" t="inlineStr">
        <is>
          <t>Fixed listing fee (Blinkit, per SKU per state; returned as ad credit)</t>
        </is>
      </c>
      <c r="B16" s="14" t="n">
        <v>25000</v>
      </c>
      <c r="C16" s="14" t="n">
        <v>0</v>
      </c>
      <c r="D16" t="inlineStr">
        <is>
          <t>RESEARCHED</t>
        </is>
      </c>
      <c r="E16" t="inlineStr">
        <is>
          <t>S39</t>
        </is>
      </c>
    </row>
    <row r="17">
      <c r="A17" t="inlineStr">
        <is>
          <t>Orders needed to recover listing fee</t>
        </is>
      </c>
      <c r="B17" s="14">
        <f>IF(B14&gt;0,B16/B14,"NOT REACHABLE")</f>
        <v/>
      </c>
      <c r="C17" s="14" t="inlineStr">
        <is>
          <t>n/a</t>
        </is>
      </c>
      <c r="D17" t="inlineStr">
        <is>
          <t>CALC</t>
        </is>
      </c>
      <c r="E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0" customWidth="1" min="1" max="1"/>
    <col width="45" customWidth="1" min="2" max="2"/>
  </cols>
  <sheetData>
    <row r="1">
      <c r="A1" s="20" t="inlineStr">
        <is>
          <t>HISTORICAL REFERENCE ONLY: founder-reported 2025 figures for an ARTIFICIAL-POWDER formulation. NOT applicable to natural-fruit formulations. NOT a current offer.</t>
        </is>
      </c>
    </row>
    <row r="4">
      <c r="A4" t="inlineStr">
        <is>
          <t>Manufacturer</t>
        </is>
      </c>
      <c r="B4" s="21" t="inlineStr">
        <is>
          <t>Dark Horse Brands (Mahaveer Group), Bengaluru</t>
        </is>
      </c>
      <c r="C4" t="inlineStr">
        <is>
          <t>HISTORICAL</t>
        </is>
      </c>
    </row>
    <row r="5">
      <c r="A5" t="inlineStr">
        <is>
          <t>Formulation</t>
        </is>
      </c>
      <c r="B5" s="21" t="inlineStr">
        <is>
          <t>Artificial flavour powders (2025 prototype)</t>
        </is>
      </c>
      <c r="C5" t="inlineStr">
        <is>
          <t>HISTORICAL</t>
        </is>
      </c>
    </row>
    <row r="6">
      <c r="A6" t="inlineStr">
        <is>
          <t>Minimum order quantity (MOQ)</t>
        </is>
      </c>
      <c r="B6" s="21" t="n">
        <v>2000</v>
      </c>
      <c r="C6" t="inlineStr">
        <is>
          <t>HISTORICAL</t>
        </is>
      </c>
    </row>
    <row r="7">
      <c r="A7" t="inlineStr">
        <is>
          <t>Volume at which the lower unit cost applied</t>
        </is>
      </c>
      <c r="B7" s="21" t="n">
        <v>10000</v>
      </c>
      <c r="C7" t="inlineStr">
        <is>
          <t>HISTORICAL</t>
        </is>
      </c>
    </row>
    <row r="8">
      <c r="A8" t="inlineStr">
        <is>
          <t>Lower unit cost (Rs/unit), basis unclear: GST, can, freight inclusion UNKNOWN</t>
        </is>
      </c>
      <c r="B8" s="21" t="n">
        <v>22</v>
      </c>
      <c r="C8" t="inlineStr">
        <is>
          <t>HISTORICAL</t>
        </is>
      </c>
    </row>
    <row r="9">
      <c r="A9" t="inlineStr">
        <is>
          <t>Unit cost at 2,000-unit MOQ</t>
        </is>
      </c>
      <c r="B9" s="22" t="inlineStr">
        <is>
          <t>UNKNOWN: not recalled/documented</t>
        </is>
      </c>
      <c r="C9" t="inlineStr">
        <is>
          <t>UNKNOWN</t>
        </is>
      </c>
    </row>
    <row r="10">
      <c r="A10" t="inlineStr">
        <is>
          <t>Proposed selling price considered (Rs); unclear whether MRP or retailer price</t>
        </is>
      </c>
      <c r="B10" s="21" t="n">
        <v>70</v>
      </c>
      <c r="C10" t="inlineStr">
        <is>
          <t>HISTORICAL</t>
        </is>
      </c>
    </row>
    <row r="11">
      <c r="A11" t="inlineStr">
        <is>
          <t>MRP ex-GST at 40% (if Rs 70 is MRP)</t>
        </is>
      </c>
      <c r="B11" s="23">
        <f>B10/(1+Inputs!$F$15)</f>
        <v/>
      </c>
      <c r="C11" t="inlineStr">
        <is>
          <t>CALC</t>
        </is>
      </c>
    </row>
    <row r="12">
      <c r="A12" t="inlineStr">
        <is>
          <t>Net realisation after base trade margins</t>
        </is>
      </c>
      <c r="B12" s="23">
        <f>B11*(1-Inputs!$F$17)*(1-Inputs!$F$18)</f>
        <v/>
      </c>
      <c r="C12" t="inlineStr">
        <is>
          <t>CALC</t>
        </is>
      </c>
    </row>
    <row r="13">
      <c r="A13" t="inlineStr">
        <is>
          <t>Implied contribution per can before freight, waste, samples, unsold</t>
        </is>
      </c>
      <c r="B13" s="23">
        <f>B12-B8</f>
        <v/>
      </c>
      <c r="C13" t="inlineStr">
        <is>
          <t>CALC</t>
        </is>
      </c>
    </row>
    <row r="14">
      <c r="A14" t="inlineStr">
        <is>
          <t>Implied contribution % of net realisation</t>
        </is>
      </c>
      <c r="B14" s="24">
        <f>B13/B12</f>
        <v/>
      </c>
      <c r="C14" t="inlineStr">
        <is>
          <t>CALC</t>
        </is>
      </c>
    </row>
    <row r="16">
      <c r="A16" t="inlineStr">
        <is>
          <t>Reading: even the historical Rs 22 cost leaves a thin margin at a Rs 70 MRP once 40% GST and trade margins are deducted, before any freight, wastage, sampling or unsold stock.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40" customWidth="1" min="3" max="3"/>
    <col width="50" customWidth="1" min="4" max="4"/>
  </cols>
  <sheetData>
    <row r="1">
      <c r="A1" s="1" t="inlineStr">
        <is>
          <t>INPUTS THAT REQUIRE FRESH WRITTEN QUOTATIONS (per flavour, at 2,000 / 5,000 / 10,000 units)</t>
        </is>
      </c>
    </row>
    <row r="3">
      <c r="A3" s="7" t="inlineStr">
        <is>
          <t>#</t>
        </is>
      </c>
      <c r="B3" s="7" t="inlineStr">
        <is>
          <t>Quotation needed</t>
        </is>
      </c>
      <c r="C3" s="7" t="inlineStr">
        <is>
          <t>From whom</t>
        </is>
      </c>
      <c r="D3" s="7" t="inlineStr">
        <is>
          <t>Why it matters</t>
        </is>
      </c>
    </row>
    <row r="4">
      <c r="A4" s="25" t="n">
        <v>1</v>
      </c>
      <c r="B4" s="25" t="inlineStr">
        <is>
          <t>NPD/formulation fee and number of iterations included, per flavour</t>
        </is>
      </c>
      <c r="C4" s="25" t="inlineStr">
        <is>
          <t>3 contract manufacturers (incl. DH Brands)</t>
        </is>
      </c>
      <c r="D4" s="25" t="inlineStr">
        <is>
          <t>Unknown one-time cost; real-fruit work is new R&amp;D.</t>
        </is>
      </c>
    </row>
    <row r="5">
      <c r="A5" s="25" t="n">
        <v>2</v>
      </c>
      <c r="B5" s="25" t="inlineStr">
        <is>
          <t>Ex-works price per can at 2k/5k/10k, PER FLAVOUR, with what is included (can, end, decoration, ingredients, filling, pasteurisation, secondary pack, testing)</t>
        </is>
      </c>
      <c r="C5" s="25" t="inlineStr">
        <is>
          <t>Same 3</t>
        </is>
      </c>
      <c r="D5" s="25" t="inlineStr">
        <is>
          <t>Core of COGS; confirms whether MOQ/price tiers are per flavour or pooled.</t>
        </is>
      </c>
    </row>
    <row r="6">
      <c r="A6" s="25" t="n">
        <v>3</v>
      </c>
      <c r="B6" s="25" t="inlineStr">
        <is>
          <t>MOQ per flavour vs per run; changeover/cleaning charges; minimum run length</t>
        </is>
      </c>
      <c r="C6" s="25" t="inlineStr">
        <is>
          <t>Same 3</t>
        </is>
      </c>
      <c r="D6" s="25" t="inlineStr">
        <is>
          <t>Determines three-flavour vs staged cash.</t>
        </is>
      </c>
    </row>
    <row r="7">
      <c r="A7" s="25" t="n">
        <v>4</v>
      </c>
      <c r="B7" s="25" t="inlineStr">
        <is>
          <t>Blueberry: juice, puree or concentrate spec (Brix, % inclusion), price/kg, origin, availability</t>
        </is>
      </c>
      <c r="C7" s="25" t="inlineStr">
        <is>
          <t>Fruit ingredient suppliers (2-3)</t>
        </is>
      </c>
      <c r="D7" s="25" t="inlineStr">
        <is>
          <t>Largest hypothetical cost.</t>
        </is>
      </c>
    </row>
    <row r="8">
      <c r="A8" s="25" t="n">
        <v>5</v>
      </c>
      <c r="B8" s="25" t="inlineStr">
        <is>
          <t>Lemon: NFC juice vs concentrate vs natural flavour price per can</t>
        </is>
      </c>
      <c r="C8" s="25" t="inlineStr">
        <is>
          <t>Flavour houses / juice processors</t>
        </is>
      </c>
      <c r="D8" s="25" t="inlineStr">
        <is>
          <t>Cheaper path to a citrus SKU.</t>
        </is>
      </c>
    </row>
    <row r="9">
      <c r="A9" s="25" t="n">
        <v>6</v>
      </c>
      <c r="B9" s="25" t="inlineStr">
        <is>
          <t>Coconut water: aseptic/frozen supply price per litre, micro specs, minimum volumes; processing route (retort, tunnel pasteurisation, acidification)</t>
        </is>
      </c>
      <c r="C9" s="25" t="inlineStr">
        <is>
          <t>Coconut water processors</t>
        </is>
      </c>
      <c r="D9" s="25" t="inlineStr">
        <is>
          <t>Low-acid safety and cost.</t>
        </is>
      </c>
    </row>
    <row r="10">
      <c r="A10" s="25" t="n">
        <v>7</v>
      </c>
      <c r="B10" s="25" t="inlineStr">
        <is>
          <t>Natural flavour systems (blueberry, lemon, coconut) with regulatory declarations</t>
        </is>
      </c>
      <c r="C10" s="25" t="inlineStr">
        <is>
          <t>2 flavour houses</t>
        </is>
      </c>
      <c r="D10" s="25" t="inlineStr">
        <is>
          <t>Lower-cost alternative to real fruit.</t>
        </is>
      </c>
    </row>
    <row r="11">
      <c r="A11" s="25" t="n">
        <v>8</v>
      </c>
      <c r="B11" s="25" t="inlineStr">
        <is>
          <t>Sweetener system (sucralose, ace-K, steviol glycosides), price/kg and recommended blend</t>
        </is>
      </c>
      <c r="C11" s="25" t="inlineStr">
        <is>
          <t>Ingredient distributors</t>
        </is>
      </c>
      <c r="D11" s="25" t="inlineStr">
        <is>
          <t>Taste and stability.</t>
        </is>
      </c>
    </row>
    <row r="12">
      <c r="A12" s="25" t="n">
        <v>9</v>
      </c>
      <c r="B12" s="25" t="inlineStr">
        <is>
          <t>Printed can vs plain can + sleeve: MOQ, price, lead time</t>
        </is>
      </c>
      <c r="C12" s="25" t="inlineStr">
        <is>
          <t>Can makers / sleeve converters</t>
        </is>
      </c>
      <c r="D12" s="25" t="inlineStr">
        <is>
          <t>Printed cans usually need very large MOQs.</t>
        </is>
      </c>
    </row>
    <row r="13">
      <c r="A13" s="25" t="n">
        <v>10</v>
      </c>
      <c r="B13" s="25" t="inlineStr">
        <is>
          <t>Shelf-life study (real-time + accelerated), micro challenge, caffeine assay, nutrition panel</t>
        </is>
      </c>
      <c r="C13" s="25" t="inlineStr">
        <is>
          <t>2 NABL-accredited labs</t>
        </is>
      </c>
      <c r="D13" s="25" t="inlineStr">
        <is>
          <t>Mandatory evidence before sale.</t>
        </is>
      </c>
    </row>
    <row r="14">
      <c r="A14" s="25" t="n">
        <v>11</v>
      </c>
      <c r="B14" s="25" t="inlineStr">
        <is>
          <t>Regulatory opinion: product category, ingredient permissions, label, claims, naming after the 2026 "energy drink" order</t>
        </is>
      </c>
      <c r="C14" s="25" t="inlineStr">
        <is>
          <t>FSSAI regulatory consultant</t>
        </is>
      </c>
      <c r="D14" s="25" t="inlineStr">
        <is>
          <t>Can the product be sold as formulated?</t>
        </is>
      </c>
    </row>
    <row r="15">
      <c r="A15" s="25" t="n">
        <v>12</v>
      </c>
      <c r="B15" s="25" t="inlineStr">
        <is>
          <t>GST classification of each SKU (esp. coconut)</t>
        </is>
      </c>
      <c r="C15" s="25" t="inlineStr">
        <is>
          <t>Chartered accountant</t>
        </is>
      </c>
      <c r="D15" s="25" t="inlineStr">
        <is>
          <t>40% vs 5% changes economics.</t>
        </is>
      </c>
    </row>
    <row r="16">
      <c r="A16" s="25" t="n">
        <v>13</v>
      </c>
      <c r="B16" s="25" t="inlineStr">
        <is>
          <t>Pilot-city distributor terms: margin, credit, cooler access, returns</t>
        </is>
      </c>
      <c r="C16" s="25" t="inlineStr">
        <is>
          <t>2-3 distributors</t>
        </is>
      </c>
      <c r="D16" s="25" t="inlineStr">
        <is>
          <t>Net realisation and cash cycle.</t>
        </is>
      </c>
    </row>
    <row r="17">
      <c r="A17" s="25" t="n">
        <v>14</v>
      </c>
      <c r="B17" s="25" t="inlineStr">
        <is>
          <t>Quick-commerce rate cards (commission, listing, fulfilment, ad minimums)</t>
        </is>
      </c>
      <c r="C17" s="25" t="inlineStr">
        <is>
          <t>Blinkit, Zepto, Instamart</t>
        </is>
      </c>
      <c r="D17" s="25" t="inlineStr">
        <is>
          <t>Current fees are from blogs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2026-10-01T04:13:09Z</dcterms:created>
  <dcterms:modified xsi:type="dcterms:W3CDTF">2026-10-01T04:13:09Z</dcterms:modified>
</cp:coreProperties>
</file>